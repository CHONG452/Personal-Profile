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电缆统计" sheetId="1" r:id="rId1"/>
    <sheet name="IO点" sheetId="2" r:id="rId2"/>
    <sheet name="IO点2" sheetId="3" r:id="rId3"/>
    <sheet name="电缆统计-计算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<sst xmlns="http://schemas.openxmlformats.org/spreadsheetml/2006/main" count="961" uniqueCount="156">
  <si>
    <t>一、动力电缆</t>
  </si>
  <si>
    <t>序号</t>
  </si>
  <si>
    <t>源地</t>
  </si>
  <si>
    <t>目的地</t>
  </si>
  <si>
    <t>功率Kw</t>
  </si>
  <si>
    <t>规格</t>
  </si>
  <si>
    <t>单位</t>
  </si>
  <si>
    <t>长度</t>
  </si>
  <si>
    <t>单价</t>
  </si>
  <si>
    <t>小计</t>
  </si>
  <si>
    <t>PDF配电房</t>
  </si>
  <si>
    <t>M1传送带1</t>
  </si>
  <si>
    <t>3*50+1*16</t>
  </si>
  <si>
    <t>米</t>
  </si>
  <si>
    <t>M2传送带2</t>
  </si>
  <si>
    <t>3*25+1*16</t>
  </si>
  <si>
    <t>M3传送带3</t>
  </si>
  <si>
    <t>SX筛选机</t>
  </si>
  <si>
    <t>3*35+1*16</t>
  </si>
  <si>
    <t>SLZDG下料震动柜</t>
  </si>
  <si>
    <t>3*2.5+1*1.5</t>
  </si>
  <si>
    <t>YYZ液压站</t>
  </si>
  <si>
    <t>WH1雾化1</t>
  </si>
  <si>
    <t>WH2雾化2</t>
  </si>
  <si>
    <t>ZKS</t>
  </si>
  <si>
    <t>二、二次控制电缆</t>
  </si>
  <si>
    <t>类型</t>
  </si>
  <si>
    <t>电压</t>
  </si>
  <si>
    <t xml:space="preserve">长度m/数量 </t>
  </si>
  <si>
    <t>M1G 传送带柜</t>
  </si>
  <si>
    <t>KVVP 16*1.5</t>
  </si>
  <si>
    <t>16*1.5</t>
  </si>
  <si>
    <t>AC220V</t>
  </si>
  <si>
    <t>M2G 传送带柜</t>
  </si>
  <si>
    <t>M3G  传送带柜</t>
  </si>
  <si>
    <t>M1G 传送带柜 220V电源线</t>
  </si>
  <si>
    <t>RVV2*1.5</t>
  </si>
  <si>
    <t>2*1.5</t>
  </si>
  <si>
    <t>M2G 传送带柜 220V电源线</t>
  </si>
  <si>
    <t>M3G 传送带柜 220V电源线</t>
  </si>
  <si>
    <t>SXG  筛选柜</t>
  </si>
  <si>
    <t>KVVP 8*1.5</t>
  </si>
  <si>
    <t>8*1.5</t>
  </si>
  <si>
    <t>DC24V</t>
  </si>
  <si>
    <t>ZKS中控室</t>
  </si>
  <si>
    <t>光纤</t>
  </si>
  <si>
    <t>室外单模成品铠装光缆GYXTW-2芯4芯    SC接口</t>
  </si>
  <si>
    <t>https://detail.tmall.com/item.htm?abbucket=5&amp;id=981718285455&amp;mi_id=0000Ca8MMwf-eExaazw6Imyqs4NXnw5ocNbD1OAbL6Vv16M&amp;ns=1&amp;priceTId=2150445417808183052725401e0f22&amp;spm=a21n57.1.hoverItem.2&amp;utparam=%7B%22aplus_abtest%22%3A%2201e84e634b98403ab62812f2297f2999%22%7D&amp;xxc=taobaoSearch&amp;skuId=6105351442229</t>
  </si>
  <si>
    <t>网线</t>
  </si>
  <si>
    <t>用网张直连到中控室</t>
  </si>
  <si>
    <t>智能水表</t>
  </si>
  <si>
    <t>RVSP2*1.0</t>
  </si>
  <si>
    <t>2*1.0</t>
  </si>
  <si>
    <t>modbus</t>
  </si>
  <si>
    <t>智能电表</t>
  </si>
  <si>
    <t>软启动器通讯*3</t>
  </si>
  <si>
    <t>SXG变频器</t>
  </si>
  <si>
    <t>软启动器信号电流输出</t>
  </si>
  <si>
    <t>4-20mA</t>
  </si>
  <si>
    <t>超五类</t>
  </si>
  <si>
    <t>光纤收发器</t>
  </si>
  <si>
    <t>千兆1光1电3公里TL-FC311A/B-3一对装SC单模单纤5-12V直流供电1310/1550nm</t>
  </si>
  <si>
    <t>2对</t>
  </si>
  <si>
    <t>https://detail.tmall.com/item.htm?ali_refid=a3_420434_1006%3A1122559199%3AH%3Aa5bqc2BScRwprwvRqEcZ1FVEYnd60xio%3A2c786fef5afae3ed64406f66ba7ae738&amp;ali_trackid=318_2c786fef5afae3ed64406f66ba7ae738&amp;id=564303053079&amp;mi_id=0000S97ewVU5_bvg98wOyD9buDVu8F68QKePG5azHEFgaz4&amp;mm_sceneid=0_0_114745751_0&amp;priceTId=2150445417808185516888585e0f22&amp;spm=a21n57.1.hoverItem.6&amp;utparam=%7B%22aplus_abtest%22%3A%2289451cb5c9f1b26fe39dfc964ceedd5c%22%7D&amp;xxc=ad_ztc</t>
  </si>
  <si>
    <t>三、中控室材料</t>
  </si>
  <si>
    <t xml:space="preserve">长度/数量 </t>
  </si>
  <si>
    <t>电脑</t>
  </si>
  <si>
    <t>CPU采用i7十一代或以上产品、内存32G、固态硬盘500G)，液晶显示器选用27英寸</t>
  </si>
  <si>
    <t>https://detail.tmall.com/item.htm?ali_refid=a3_420434_1006%3A1603680132%3AH%3Ao4LBVeY6jfgV%2B0PjpNQXbQ%3D%3D%3Ad1252181f244f81295cef17e3b43888f&amp;ali_trackid=282_d1252181f244f81295cef17e3b43888f&amp;id=969247587483&amp;mi_id=0000T5L2EMzUdjZf6Ypir8_jfRchTro6-5Yo0QsQymzF9zo&amp;mm_sceneid=1_0_2343040132_0&amp;priceTId=2150401c17808195284995316e0ed0&amp;skuId=6093125394679&amp;spm=a21n57.1.hoverItem.2&amp;utparam=%7B%22aplus_abtest%22%3A%2220e0f3c6320d542da5cd4d249e39476c%22%7D&amp;xxc=ad_ztc</t>
  </si>
  <si>
    <t>研祥IPC-310/EC0-1828X（支持12.13.14代CPU）I9-12900KF/16G/1TSSD/2G独显</t>
  </si>
  <si>
    <t>网络柜</t>
  </si>
  <si>
    <t>豪华款9U高450宽550深400</t>
  </si>
  <si>
    <t>https://detail.tmall.com/item.htm?abbucket=5&amp;id=645351359262&amp;mi_id=0000KEqCXvCVDB9kNc8PYo2T1V4OsXe-dznvLBZpU8oYJXg&amp;ns=1&amp;priceTId=213e03a617808204522796264e0f8d&amp;skuId=4644881865639&amp;spm=a21n57.1.hoverItem.5&amp;utparam=%7B%22aplus_abtest%22%3A%22e9a2269b966876c4b3438e3a2bc675e9%22%7D&amp;xxc=taobaoSearch</t>
  </si>
  <si>
    <t>交换机</t>
  </si>
  <si>
    <t>16口千兆  S1216  H3C</t>
  </si>
  <si>
    <t>https://item.taobao.com/item.htm?abbucket=5&amp;id=662033930809&amp;mi_id=0000nLkInlf0UBh6wDl3u5SDydFlt2xF94kJ2S7dIdvoDC4&amp;ns=1&amp;priceTId=213e03a617808205773161924e0f8d&amp;skuId=4779595345190&amp;spm=a21n57.1.hoverItem.2&amp;utparam=%7B%22aplus_abtest%22%3A%22490713f2fc021a6c8a5e7fc9dbebd75f%22%7D&amp;xxc=taobaoSearch</t>
  </si>
  <si>
    <t>电源插排</t>
  </si>
  <si>
    <t>公牛6插位3米109K</t>
  </si>
  <si>
    <t>https://detail.tmall.com/item.htm?ali_refid=a3_420434_1006%3A1122737861%3AH%3AGZsWun9QVJlabmEWtA282Q%3D%3D%3A1fe0d166adad07f2312ecc01ab88e105&amp;ali_trackid=318_1fe0d166adad07f2312ecc01ab88e105&amp;id=599836073447&amp;mi_id=0000qSb5DA7s3x6nuQsKANms9VHCcVaU4SLxG0a-B6vtND4&amp;mm_sceneid=0_0_114300864_0&amp;priceTId=2150401c17808202194381948e0ed0&amp;spm=a21n57.1.hoverItem.5&amp;utparam=%7B%22aplus_abtest%22%3A%220b35af7795193daad2aadedef6304e4c%22%7D&amp;xxc=ad_ztc</t>
  </si>
  <si>
    <t>办公桌</t>
  </si>
  <si>
    <t>1500*800</t>
  </si>
  <si>
    <t>名称</t>
  </si>
  <si>
    <t>对象</t>
  </si>
  <si>
    <t>字符</t>
  </si>
  <si>
    <t>数量</t>
  </si>
  <si>
    <t>说明</t>
  </si>
  <si>
    <t>线缆</t>
  </si>
  <si>
    <t>下料斗</t>
  </si>
  <si>
    <t>1号 电机2.2kw*2 远程启动停止</t>
  </si>
  <si>
    <t>M51  52</t>
  </si>
  <si>
    <t>DO</t>
  </si>
  <si>
    <t>2号 电机2.2kw*2 远程启动停止</t>
  </si>
  <si>
    <t>M61   62</t>
  </si>
  <si>
    <t>1号 电机2.2kw*2 KM</t>
  </si>
  <si>
    <t>DI</t>
  </si>
  <si>
    <t>2号 电机2.2kw*2 KM</t>
  </si>
  <si>
    <t>1号 电机2.2kw*2热继</t>
  </si>
  <si>
    <t>远程/就地/检修</t>
  </si>
  <si>
    <t>热继</t>
  </si>
  <si>
    <t>1号下料斗闸门的位置开关</t>
  </si>
  <si>
    <t>2号下料斗闸门的位置开关</t>
  </si>
  <si>
    <t>1号液压站1    3kw</t>
  </si>
  <si>
    <t>2号液压站2    3kw</t>
  </si>
  <si>
    <t>1号下料斗闸门开关电磁阀</t>
  </si>
  <si>
    <t>2号下料斗闸门开关电磁阀</t>
  </si>
  <si>
    <t>一号皮带</t>
  </si>
  <si>
    <t>传感器-防滑</t>
  </si>
  <si>
    <t>防跑偏限位</t>
  </si>
  <si>
    <t>防撕裂</t>
  </si>
  <si>
    <t>接绳急停开关</t>
  </si>
  <si>
    <t>在就地柜上</t>
  </si>
  <si>
    <t>软启动器-运行反馈</t>
  </si>
  <si>
    <t>或modbus</t>
  </si>
  <si>
    <t>机旁</t>
  </si>
  <si>
    <t>软启动器-故障报警 FAULT</t>
  </si>
  <si>
    <t>软启动器-就绪 READY</t>
  </si>
  <si>
    <t>双机切换开关</t>
  </si>
  <si>
    <t>主电机55kw</t>
  </si>
  <si>
    <t>M11 M12</t>
  </si>
  <si>
    <t>一用一备</t>
  </si>
  <si>
    <t>软启动器-启动</t>
  </si>
  <si>
    <t>软启动器-停止</t>
  </si>
  <si>
    <t>软启动器-瞬停</t>
  </si>
  <si>
    <t>软启动器通讯</t>
  </si>
  <si>
    <t>ModBus</t>
  </si>
  <si>
    <t>屏蔽2芯电缆</t>
  </si>
  <si>
    <t>振动筛</t>
  </si>
  <si>
    <t>远程启停控制</t>
  </si>
  <si>
    <t>M4</t>
  </si>
  <si>
    <t>集控状态</t>
  </si>
  <si>
    <t>筛故障</t>
  </si>
  <si>
    <t>筛运行</t>
  </si>
  <si>
    <t>变频器通讯</t>
  </si>
  <si>
    <t>二号皮带</t>
  </si>
  <si>
    <t>三号皮带</t>
  </si>
  <si>
    <t>用24V 中继转220V的触点</t>
  </si>
  <si>
    <t>用24V 中继转221V的触点</t>
  </si>
  <si>
    <t>2层SA开关</t>
  </si>
  <si>
    <t>液压站</t>
  </si>
  <si>
    <t>AC220v</t>
  </si>
  <si>
    <t>有源 AC220</t>
  </si>
  <si>
    <t>无源</t>
  </si>
  <si>
    <t>防堵塞传感器</t>
  </si>
  <si>
    <t>RVV10*1.5</t>
  </si>
  <si>
    <t>10*1.5</t>
  </si>
  <si>
    <t>RVV8*1.5</t>
  </si>
  <si>
    <t>6*1.5</t>
  </si>
  <si>
    <t>RVV12*1.5</t>
  </si>
  <si>
    <t>11*1.5</t>
  </si>
  <si>
    <t>YYZ液压站1</t>
  </si>
  <si>
    <t>YYZ液压站2</t>
  </si>
  <si>
    <t>5*1.5</t>
  </si>
  <si>
    <t>控制要求：</t>
  </si>
  <si>
    <t>1、振动机：自动方式下：运行多长，停止多长，而且时间可以设置，启动，停止。手动方式下：现地才能手动启动和停止。</t>
  </si>
  <si>
    <t>2、空压站：现地：开或关，远程：开或关，开关时空压电机同步启动。</t>
  </si>
  <si>
    <t>3、皮带：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</si>
</sst>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7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6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center"/>
    </xf>
    <xf numFmtId="176" fontId="0" fillId="8" borderId="0" xfId="0" applyNumberFormat="1" applyFill="1"/>
    <xf numFmtId="176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ali_refid=a3_420434_1006%3A1603680132%3AH%3Ao4LBVeY6jfgV%2B0PjpNQXbQ%3D%3D%3Ad1252181f244f81295cef17e3b43888f&amp;ali_trackid=282_d1252181f244f81295cef17e3b43888f&amp;id=969247587483&amp;mi_id=0000T5L2EMzUdjZf6Ypir8_jfRchTro6-5Yo0QsQymzF9zo&amp;mm_sceneid=1_0_2343040132_0&amp;priceTId=2150401c17808195284995316e0ed0&amp;skuId=6093125394679&amp;spm=a21n57.1.hoverItem.2&amp;utparam=%7B%22aplus_abtest%22%3A%2220e0f3c6320d542da5cd4d249e39476c%22%7D&amp;xxc=ad_zt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ali_refid=a3_420434_1006%3A1603680132%3AH%3Ao4LBVeY6jfgV%2B0PjpNQXbQ%3D%3D%3Ad1252181f244f81295cef17e3b43888f&amp;ali_trackid=282_d1252181f244f81295cef17e3b43888f&amp;id=969247587483&amp;mi_id=0000T5L2EMzUdjZf6Ypir8_jfRchTro6-5Yo0QsQymzF9zo&amp;mm_sceneid=1_0_2343040132_0&amp;priceTId=2150401c17808195284995316e0ed0&amp;skuId=6093125394679&amp;spm=a21n57.1.hoverItem.2&amp;utparam=%7B%22aplus_abtest%22%3A%2220e0f3c6320d542da5cd4d249e39476c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115" zoomScaleNormal="115" topLeftCell="A10" workbookViewId="0">
      <selection activeCell="A13" sqref="$A13:$XFD33"/>
    </sheetView>
  </sheetViews>
  <sheetFormatPr defaultColWidth="9" defaultRowHeight="14"/>
  <cols>
    <col min="1" max="1" width="7.91666666666667" style="1" customWidth="1"/>
    <col min="2" max="2" width="11.75" customWidth="1"/>
    <col min="3" max="3" width="33.25" customWidth="1"/>
    <col min="4" max="4" width="12.0833333333333" style="1" customWidth="1"/>
    <col min="5" max="5" width="42.5833333333333" customWidth="1"/>
    <col min="6" max="6" width="8.66666666666667" style="1"/>
    <col min="7" max="7" width="12" customWidth="1"/>
  </cols>
  <sheetData>
    <row r="1" spans="1:1">
      <c r="A1" s="2" t="s">
        <v>0</v>
      </c>
    </row>
    <row r="2" spans="1:10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/>
    </row>
    <row r="3" spans="1:6">
      <c r="A3" s="1">
        <v>1</v>
      </c>
      <c r="B3" t="s">
        <v>10</v>
      </c>
      <c r="C3" t="s">
        <v>11</v>
      </c>
      <c r="D3" s="1">
        <v>55</v>
      </c>
      <c r="E3" t="s">
        <v>12</v>
      </c>
      <c r="F3" s="1" t="s">
        <v>13</v>
      </c>
    </row>
    <row r="4" spans="1:6">
      <c r="A4" s="1">
        <v>2</v>
      </c>
      <c r="B4" t="s">
        <v>10</v>
      </c>
      <c r="C4" t="s">
        <v>14</v>
      </c>
      <c r="D4" s="1">
        <v>30</v>
      </c>
      <c r="E4" t="s">
        <v>15</v>
      </c>
      <c r="F4" s="1" t="s">
        <v>13</v>
      </c>
    </row>
    <row r="5" spans="1:6">
      <c r="A5" s="1">
        <v>3</v>
      </c>
      <c r="B5" t="s">
        <v>10</v>
      </c>
      <c r="C5" t="s">
        <v>16</v>
      </c>
      <c r="D5" s="1">
        <v>30</v>
      </c>
      <c r="E5" t="s">
        <v>15</v>
      </c>
      <c r="F5" s="1" t="s">
        <v>13</v>
      </c>
    </row>
    <row r="6" spans="1:6">
      <c r="A6" s="1">
        <v>4</v>
      </c>
      <c r="B6" t="s">
        <v>10</v>
      </c>
      <c r="C6" t="s">
        <v>17</v>
      </c>
      <c r="D6" s="1">
        <v>45</v>
      </c>
      <c r="E6" t="s">
        <v>18</v>
      </c>
      <c r="F6" s="1" t="s">
        <v>13</v>
      </c>
    </row>
    <row r="7" spans="1:6">
      <c r="A7" s="1">
        <v>5</v>
      </c>
      <c r="B7" t="s">
        <v>10</v>
      </c>
      <c r="C7" t="s">
        <v>19</v>
      </c>
      <c r="D7" s="1">
        <v>8.8</v>
      </c>
      <c r="E7" t="s">
        <v>20</v>
      </c>
      <c r="F7" s="1" t="s">
        <v>13</v>
      </c>
    </row>
    <row r="8" spans="1:6">
      <c r="A8" s="1">
        <v>6</v>
      </c>
      <c r="B8" t="s">
        <v>10</v>
      </c>
      <c r="C8" t="s">
        <v>21</v>
      </c>
      <c r="D8" s="1">
        <v>6</v>
      </c>
      <c r="E8" t="s">
        <v>20</v>
      </c>
      <c r="F8" s="1" t="s">
        <v>13</v>
      </c>
    </row>
    <row r="9" spans="1:6">
      <c r="A9" s="1">
        <v>7</v>
      </c>
      <c r="B9" t="s">
        <v>10</v>
      </c>
      <c r="C9" t="s">
        <v>22</v>
      </c>
      <c r="D9" s="1">
        <v>9.5</v>
      </c>
      <c r="E9" t="s">
        <v>20</v>
      </c>
      <c r="F9" s="1" t="s">
        <v>13</v>
      </c>
    </row>
    <row r="10" spans="1:6">
      <c r="A10" s="1">
        <v>8</v>
      </c>
      <c r="B10" t="s">
        <v>10</v>
      </c>
      <c r="C10" t="s">
        <v>23</v>
      </c>
      <c r="D10" s="1">
        <v>9.5</v>
      </c>
      <c r="E10" t="s">
        <v>20</v>
      </c>
      <c r="F10" s="1" t="s">
        <v>13</v>
      </c>
    </row>
    <row r="11" spans="1:6">
      <c r="A11" s="1">
        <v>9</v>
      </c>
      <c r="B11" t="s">
        <v>10</v>
      </c>
      <c r="C11" t="s">
        <v>24</v>
      </c>
      <c r="D11" s="1">
        <v>10</v>
      </c>
      <c r="E11" t="s">
        <v>20</v>
      </c>
      <c r="F11" s="1" t="s">
        <v>13</v>
      </c>
    </row>
    <row r="13" spans="1:1">
      <c r="A13" s="2" t="s">
        <v>25</v>
      </c>
    </row>
    <row r="14" spans="1:10">
      <c r="A14" s="3" t="s">
        <v>1</v>
      </c>
      <c r="B14" s="4" t="s">
        <v>2</v>
      </c>
      <c r="C14" s="4" t="s">
        <v>3</v>
      </c>
      <c r="D14" s="3" t="s">
        <v>26</v>
      </c>
      <c r="E14" s="3" t="s">
        <v>5</v>
      </c>
      <c r="F14" s="3" t="s">
        <v>27</v>
      </c>
      <c r="G14" s="4" t="s">
        <v>28</v>
      </c>
      <c r="H14" s="4" t="s">
        <v>8</v>
      </c>
      <c r="I14" s="4" t="s">
        <v>9</v>
      </c>
      <c r="J14" s="4"/>
    </row>
    <row r="15" s="29" customFormat="1" spans="1:8">
      <c r="A15" s="30">
        <v>1</v>
      </c>
      <c r="B15" s="29" t="s">
        <v>10</v>
      </c>
      <c r="C15" s="29" t="s">
        <v>29</v>
      </c>
      <c r="D15" s="30" t="s">
        <v>30</v>
      </c>
      <c r="E15" s="30" t="s">
        <v>31</v>
      </c>
      <c r="F15" s="29" t="s">
        <v>32</v>
      </c>
      <c r="G15" s="31">
        <v>92.4</v>
      </c>
      <c r="H15" s="31"/>
    </row>
    <row r="16" s="29" customFormat="1" spans="1:8">
      <c r="A16" s="30">
        <v>2</v>
      </c>
      <c r="B16" s="29" t="s">
        <v>10</v>
      </c>
      <c r="C16" s="29" t="s">
        <v>33</v>
      </c>
      <c r="D16" s="30" t="s">
        <v>30</v>
      </c>
      <c r="E16" s="30" t="s">
        <v>31</v>
      </c>
      <c r="F16" s="29" t="s">
        <v>32</v>
      </c>
      <c r="G16" s="31">
        <v>92.4</v>
      </c>
      <c r="H16" s="31"/>
    </row>
    <row r="17" s="29" customFormat="1" spans="1:8">
      <c r="A17" s="30">
        <v>3</v>
      </c>
      <c r="B17" s="29" t="s">
        <v>10</v>
      </c>
      <c r="C17" s="29" t="s">
        <v>34</v>
      </c>
      <c r="D17" s="30" t="s">
        <v>30</v>
      </c>
      <c r="E17" s="30" t="s">
        <v>31</v>
      </c>
      <c r="F17" s="29" t="s">
        <v>32</v>
      </c>
      <c r="G17" s="31">
        <v>54</v>
      </c>
      <c r="H17" s="31"/>
    </row>
    <row r="18" spans="1:8">
      <c r="A18" s="1">
        <v>4</v>
      </c>
      <c r="B18" t="s">
        <v>10</v>
      </c>
      <c r="C18" t="s">
        <v>35</v>
      </c>
      <c r="D18" s="1" t="s">
        <v>36</v>
      </c>
      <c r="E18" s="1" t="s">
        <v>37</v>
      </c>
      <c r="F18" t="s">
        <v>32</v>
      </c>
      <c r="G18" s="5">
        <v>92.4</v>
      </c>
      <c r="H18" s="5"/>
    </row>
    <row r="19" spans="1:8">
      <c r="A19" s="1">
        <v>5</v>
      </c>
      <c r="B19" t="s">
        <v>10</v>
      </c>
      <c r="C19" t="s">
        <v>38</v>
      </c>
      <c r="D19" s="1" t="s">
        <v>36</v>
      </c>
      <c r="E19" s="1" t="s">
        <v>37</v>
      </c>
      <c r="F19" t="s">
        <v>32</v>
      </c>
      <c r="G19" s="5">
        <v>92.4</v>
      </c>
      <c r="H19" s="5"/>
    </row>
    <row r="20" spans="1:8">
      <c r="A20" s="1">
        <v>6</v>
      </c>
      <c r="B20" t="s">
        <v>10</v>
      </c>
      <c r="C20" t="s">
        <v>39</v>
      </c>
      <c r="D20" s="1" t="s">
        <v>36</v>
      </c>
      <c r="E20" s="1" t="s">
        <v>37</v>
      </c>
      <c r="F20" t="s">
        <v>32</v>
      </c>
      <c r="G20" s="5">
        <v>92.4</v>
      </c>
      <c r="H20" s="5"/>
    </row>
    <row r="21" s="29" customFormat="1" spans="1:8">
      <c r="A21" s="30">
        <v>7</v>
      </c>
      <c r="B21" s="29" t="s">
        <v>10</v>
      </c>
      <c r="C21" s="29" t="s">
        <v>40</v>
      </c>
      <c r="D21" s="30" t="s">
        <v>41</v>
      </c>
      <c r="E21" s="30" t="s">
        <v>42</v>
      </c>
      <c r="F21" s="29" t="s">
        <v>32</v>
      </c>
      <c r="G21" s="31">
        <v>81.6</v>
      </c>
      <c r="H21" s="31"/>
    </row>
    <row r="22" s="29" customFormat="1" spans="1:8">
      <c r="A22" s="30">
        <v>9</v>
      </c>
      <c r="B22" s="29" t="s">
        <v>10</v>
      </c>
      <c r="C22" s="29" t="s">
        <v>19</v>
      </c>
      <c r="D22" s="30" t="s">
        <v>30</v>
      </c>
      <c r="E22" s="30" t="s">
        <v>31</v>
      </c>
      <c r="F22" s="29" t="s">
        <v>43</v>
      </c>
      <c r="G22" s="31">
        <v>144</v>
      </c>
      <c r="H22" s="31"/>
    </row>
    <row r="23" s="29" customFormat="1" spans="1:8">
      <c r="A23" s="30">
        <v>10</v>
      </c>
      <c r="B23" s="29" t="s">
        <v>10</v>
      </c>
      <c r="C23" s="29" t="s">
        <v>21</v>
      </c>
      <c r="D23" s="30" t="s">
        <v>30</v>
      </c>
      <c r="E23" s="30" t="s">
        <v>31</v>
      </c>
      <c r="F23" s="29" t="s">
        <v>43</v>
      </c>
      <c r="G23" s="31">
        <v>153.6</v>
      </c>
      <c r="H23" s="31"/>
    </row>
    <row r="24" spans="1:10">
      <c r="A24" s="1">
        <v>12</v>
      </c>
      <c r="B24" t="s">
        <v>44</v>
      </c>
      <c r="C24" t="s">
        <v>22</v>
      </c>
      <c r="D24" s="1" t="s">
        <v>45</v>
      </c>
      <c r="E24" s="1" t="s">
        <v>46</v>
      </c>
      <c r="F24"/>
      <c r="G24" s="5">
        <v>164.4</v>
      </c>
      <c r="H24" s="5"/>
      <c r="J24" t="s">
        <v>47</v>
      </c>
    </row>
    <row r="25" spans="1:8">
      <c r="A25" s="1">
        <v>13</v>
      </c>
      <c r="B25" t="s">
        <v>44</v>
      </c>
      <c r="C25" t="s">
        <v>23</v>
      </c>
      <c r="D25" s="1" t="s">
        <v>48</v>
      </c>
      <c r="E25" s="1" t="s">
        <v>49</v>
      </c>
      <c r="G25" s="32">
        <v>22.8</v>
      </c>
      <c r="H25" s="5"/>
    </row>
    <row r="26" spans="1:10">
      <c r="A26" s="1">
        <v>14</v>
      </c>
      <c r="B26" t="s">
        <v>44</v>
      </c>
      <c r="C26" t="s">
        <v>10</v>
      </c>
      <c r="D26" s="1" t="s">
        <v>45</v>
      </c>
      <c r="E26" s="1" t="s">
        <v>46</v>
      </c>
      <c r="F26"/>
      <c r="G26" s="5">
        <v>100.8</v>
      </c>
      <c r="H26" s="5"/>
      <c r="J26" t="s">
        <v>47</v>
      </c>
    </row>
    <row r="27" spans="1:8">
      <c r="A27" s="1">
        <v>15</v>
      </c>
      <c r="B27" t="s">
        <v>10</v>
      </c>
      <c r="C27" s="7" t="s">
        <v>50</v>
      </c>
      <c r="D27" s="1" t="s">
        <v>51</v>
      </c>
      <c r="E27" s="1" t="s">
        <v>52</v>
      </c>
      <c r="F27" t="s">
        <v>53</v>
      </c>
      <c r="G27" s="5">
        <v>149</v>
      </c>
      <c r="H27" s="5"/>
    </row>
    <row r="28" spans="1:8">
      <c r="A28" s="1">
        <v>16</v>
      </c>
      <c r="B28" t="s">
        <v>10</v>
      </c>
      <c r="C28" s="7" t="s">
        <v>54</v>
      </c>
      <c r="D28" s="1" t="s">
        <v>51</v>
      </c>
      <c r="E28" s="1" t="s">
        <v>52</v>
      </c>
      <c r="F28" t="s">
        <v>53</v>
      </c>
      <c r="G28" s="5">
        <v>12</v>
      </c>
      <c r="H28" s="5"/>
    </row>
    <row r="29" spans="1:8">
      <c r="A29" s="1">
        <v>17</v>
      </c>
      <c r="B29" t="s">
        <v>10</v>
      </c>
      <c r="C29" s="7" t="s">
        <v>55</v>
      </c>
      <c r="D29" s="1" t="s">
        <v>51</v>
      </c>
      <c r="E29" s="1" t="s">
        <v>52</v>
      </c>
      <c r="F29" t="s">
        <v>53</v>
      </c>
      <c r="G29" s="5">
        <v>12</v>
      </c>
      <c r="H29" s="5"/>
    </row>
    <row r="30" spans="1:8">
      <c r="A30" s="1">
        <v>18</v>
      </c>
      <c r="B30" t="s">
        <v>10</v>
      </c>
      <c r="C30" s="7" t="s">
        <v>56</v>
      </c>
      <c r="D30" s="1" t="s">
        <v>51</v>
      </c>
      <c r="E30" s="1" t="s">
        <v>52</v>
      </c>
      <c r="F30" t="s">
        <v>53</v>
      </c>
      <c r="G30" s="5">
        <v>81.6</v>
      </c>
      <c r="H30" s="5"/>
    </row>
    <row r="31" spans="1:8">
      <c r="A31" s="1">
        <v>19</v>
      </c>
      <c r="B31" t="s">
        <v>10</v>
      </c>
      <c r="C31" s="7" t="s">
        <v>57</v>
      </c>
      <c r="D31" s="1" t="s">
        <v>51</v>
      </c>
      <c r="E31" s="1" t="s">
        <v>52</v>
      </c>
      <c r="F31" t="s">
        <v>58</v>
      </c>
      <c r="G31" s="5">
        <v>12</v>
      </c>
      <c r="H31" s="5"/>
    </row>
    <row r="32" spans="1:8">
      <c r="A32" s="1">
        <v>20</v>
      </c>
      <c r="B32" t="s">
        <v>48</v>
      </c>
      <c r="C32" s="7" t="s">
        <v>59</v>
      </c>
      <c r="G32" s="32">
        <v>60</v>
      </c>
      <c r="H32" s="5"/>
    </row>
    <row r="33" ht="42" spans="1:8">
      <c r="A33" s="1">
        <v>21</v>
      </c>
      <c r="B33" s="9" t="s">
        <v>60</v>
      </c>
      <c r="C33" s="10" t="s">
        <v>61</v>
      </c>
      <c r="F33" s="8" t="s">
        <v>32</v>
      </c>
      <c r="G33" s="7" t="s">
        <v>62</v>
      </c>
      <c r="H33" t="s">
        <v>63</v>
      </c>
    </row>
    <row r="34" ht="22" customHeight="1" spans="1:1">
      <c r="A34" s="2" t="s">
        <v>64</v>
      </c>
    </row>
    <row r="35" spans="1:6">
      <c r="A35" s="3" t="s">
        <v>1</v>
      </c>
      <c r="B35" s="4" t="s">
        <v>2</v>
      </c>
      <c r="C35" s="4" t="s">
        <v>26</v>
      </c>
      <c r="D35" s="4" t="s">
        <v>65</v>
      </c>
      <c r="E35" s="4" t="s">
        <v>8</v>
      </c>
      <c r="F35" s="4" t="s">
        <v>9</v>
      </c>
    </row>
    <row r="36" ht="72" customHeight="1" spans="1:8">
      <c r="A36" s="8">
        <v>1</v>
      </c>
      <c r="B36" s="7" t="s">
        <v>66</v>
      </c>
      <c r="C36" s="10" t="s">
        <v>67</v>
      </c>
      <c r="D36" s="8">
        <v>1</v>
      </c>
      <c r="E36" s="10"/>
      <c r="F36" s="8"/>
      <c r="G36" s="11" t="s">
        <v>68</v>
      </c>
      <c r="H36" s="10" t="s">
        <v>69</v>
      </c>
    </row>
    <row r="37" spans="1:8">
      <c r="A37" s="8">
        <v>2</v>
      </c>
      <c r="B37" s="7" t="s">
        <v>70</v>
      </c>
      <c r="C37" s="10" t="s">
        <v>71</v>
      </c>
      <c r="D37" s="8">
        <v>1</v>
      </c>
      <c r="E37" s="7"/>
      <c r="F37" s="8"/>
      <c r="G37" s="7" t="s">
        <v>72</v>
      </c>
      <c r="H37" s="7"/>
    </row>
    <row r="38" spans="1:8">
      <c r="A38" s="8">
        <v>3</v>
      </c>
      <c r="B38" s="7" t="s">
        <v>73</v>
      </c>
      <c r="C38" s="7" t="s">
        <v>74</v>
      </c>
      <c r="D38" s="8">
        <v>1</v>
      </c>
      <c r="E38" s="7"/>
      <c r="F38" s="8"/>
      <c r="G38" s="7" t="s">
        <v>75</v>
      </c>
      <c r="H38" s="7"/>
    </row>
    <row r="39" spans="1:8">
      <c r="A39" s="8">
        <v>3</v>
      </c>
      <c r="B39" s="7" t="s">
        <v>76</v>
      </c>
      <c r="C39" s="7" t="s">
        <v>77</v>
      </c>
      <c r="D39" s="8">
        <v>2</v>
      </c>
      <c r="E39" s="7"/>
      <c r="F39" s="8"/>
      <c r="G39" s="7" t="s">
        <v>78</v>
      </c>
      <c r="H39" s="7"/>
    </row>
    <row r="40" spans="1:4">
      <c r="A40" s="1">
        <v>4</v>
      </c>
      <c r="B40" t="s">
        <v>79</v>
      </c>
      <c r="C40" t="s">
        <v>80</v>
      </c>
      <c r="D40" s="1">
        <v>1</v>
      </c>
    </row>
  </sheetData>
  <hyperlinks>
    <hyperlink ref="G36" r:id="rId1" display="https://detail.tmall.com/item.htm?ali_refid=a3_420434_1006%3A1603680132%3AH%3Ao4LBVeY6jfgV%2B0PjpNQXbQ%3D%3D%3Ad1252181f244f81295cef17e3b43888f&amp;ali_trackid=282_d1252181f244f81295cef17e3b43888f&amp;id=969247587483&amp;mi_id=0000T5L2EMzUdjZf6Ypir8_jfRchTro6-5Yo0QsQymzF9zo&amp;mm_sceneid=1_0_2343040132_0&amp;priceTId=2150401c17808195284995316e0ed0&amp;skuId=6093125394679&amp;spm=a21n57.1.hoverItem.2&amp;utparam=%7B%22aplus_abtest%22%3A%2220e0f3c6320d542da5cd4d249e39476c%22%7D&amp;xxc=ad_zt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workbookViewId="0">
      <selection activeCell="H2" sqref="H2:H8"/>
    </sheetView>
  </sheetViews>
  <sheetFormatPr defaultColWidth="9" defaultRowHeight="14"/>
  <cols>
    <col min="1" max="1" width="9" style="8"/>
    <col min="2" max="2" width="12.25" style="7" customWidth="1"/>
    <col min="3" max="3" width="34.5833333333333" style="7" customWidth="1"/>
    <col min="4" max="4" width="8.75" style="7" customWidth="1"/>
    <col min="5" max="5" width="6.16666666666667" style="8" customWidth="1"/>
    <col min="6" max="6" width="9.41666666666667" style="7" customWidth="1"/>
    <col min="7" max="7" width="13.8333333333333" style="8" customWidth="1"/>
    <col min="8" max="8" width="13.5833333333333" style="8" customWidth="1"/>
    <col min="9" max="9" width="9" style="8"/>
    <col min="10" max="16384" width="9" style="7"/>
  </cols>
  <sheetData>
    <row r="1" ht="22.5" customHeight="1" spans="1:9">
      <c r="A1" s="16" t="s">
        <v>1</v>
      </c>
      <c r="B1" s="16" t="s">
        <v>81</v>
      </c>
      <c r="C1" s="16" t="s">
        <v>82</v>
      </c>
      <c r="D1" s="16" t="s">
        <v>83</v>
      </c>
      <c r="E1" s="16" t="s">
        <v>84</v>
      </c>
      <c r="F1" s="16" t="s">
        <v>26</v>
      </c>
      <c r="G1" s="17" t="s">
        <v>85</v>
      </c>
      <c r="H1" s="17" t="s">
        <v>86</v>
      </c>
      <c r="I1" s="17" t="s">
        <v>27</v>
      </c>
    </row>
    <row r="2" s="12" customFormat="1" spans="1:9">
      <c r="A2" s="18">
        <v>1</v>
      </c>
      <c r="B2" s="12" t="s">
        <v>87</v>
      </c>
      <c r="C2" s="19" t="s">
        <v>88</v>
      </c>
      <c r="D2" s="12" t="s">
        <v>89</v>
      </c>
      <c r="E2" s="18">
        <v>2</v>
      </c>
      <c r="F2" s="12" t="s">
        <v>90</v>
      </c>
      <c r="G2" s="18"/>
      <c r="H2" s="18">
        <v>2</v>
      </c>
      <c r="I2" s="20" t="s">
        <v>43</v>
      </c>
    </row>
    <row r="3" s="12" customFormat="1" spans="1:9">
      <c r="A3" s="18"/>
      <c r="B3" s="12" t="s">
        <v>87</v>
      </c>
      <c r="C3" s="12" t="s">
        <v>91</v>
      </c>
      <c r="D3" s="12" t="s">
        <v>92</v>
      </c>
      <c r="E3" s="18">
        <v>2</v>
      </c>
      <c r="F3" s="12" t="s">
        <v>90</v>
      </c>
      <c r="G3" s="18"/>
      <c r="H3" s="18">
        <v>2</v>
      </c>
      <c r="I3" s="20" t="s">
        <v>43</v>
      </c>
    </row>
    <row r="4" s="13" customFormat="1" spans="1:9">
      <c r="A4" s="20"/>
      <c r="B4" s="13" t="s">
        <v>87</v>
      </c>
      <c r="C4" s="21" t="s">
        <v>93</v>
      </c>
      <c r="E4" s="20">
        <v>2</v>
      </c>
      <c r="F4" s="13" t="s">
        <v>94</v>
      </c>
      <c r="G4" s="20"/>
      <c r="H4" s="20">
        <v>2</v>
      </c>
      <c r="I4" s="20" t="s">
        <v>43</v>
      </c>
    </row>
    <row r="5" s="13" customFormat="1" spans="1:9">
      <c r="A5" s="20"/>
      <c r="B5" s="13" t="s">
        <v>87</v>
      </c>
      <c r="C5" s="21" t="s">
        <v>95</v>
      </c>
      <c r="E5" s="20">
        <v>2</v>
      </c>
      <c r="F5" s="13" t="s">
        <v>94</v>
      </c>
      <c r="G5" s="20"/>
      <c r="H5" s="20">
        <v>2</v>
      </c>
      <c r="I5" s="20" t="s">
        <v>43</v>
      </c>
    </row>
    <row r="6" s="13" customFormat="1" spans="1:9">
      <c r="A6" s="20"/>
      <c r="B6" s="13" t="s">
        <v>87</v>
      </c>
      <c r="C6" s="13" t="s">
        <v>96</v>
      </c>
      <c r="E6" s="20">
        <v>2</v>
      </c>
      <c r="F6" s="13" t="s">
        <v>94</v>
      </c>
      <c r="G6" s="20"/>
      <c r="H6" s="20">
        <v>2</v>
      </c>
      <c r="I6" s="20" t="s">
        <v>43</v>
      </c>
    </row>
    <row r="7" s="13" customFormat="1" spans="1:9">
      <c r="A7" s="20"/>
      <c r="B7" s="13" t="s">
        <v>87</v>
      </c>
      <c r="C7" s="13" t="s">
        <v>96</v>
      </c>
      <c r="E7" s="20">
        <v>2</v>
      </c>
      <c r="F7" s="13" t="s">
        <v>94</v>
      </c>
      <c r="G7" s="20"/>
      <c r="H7" s="20">
        <v>2</v>
      </c>
      <c r="I7" s="20" t="s">
        <v>43</v>
      </c>
    </row>
    <row r="8" s="13" customFormat="1" spans="1:9">
      <c r="A8" s="20"/>
      <c r="B8" s="13" t="s">
        <v>87</v>
      </c>
      <c r="C8" s="22" t="s">
        <v>97</v>
      </c>
      <c r="E8" s="20">
        <v>1</v>
      </c>
      <c r="F8" s="13" t="s">
        <v>94</v>
      </c>
      <c r="G8" s="20"/>
      <c r="H8" s="20">
        <v>1</v>
      </c>
      <c r="I8" s="20" t="s">
        <v>43</v>
      </c>
    </row>
    <row r="9" s="14" customFormat="1" spans="1:9">
      <c r="A9" s="23"/>
      <c r="B9" s="14" t="s">
        <v>87</v>
      </c>
      <c r="C9" s="14" t="s">
        <v>98</v>
      </c>
      <c r="E9" s="23">
        <v>2</v>
      </c>
      <c r="F9" s="14" t="s">
        <v>94</v>
      </c>
      <c r="G9" s="23"/>
      <c r="H9" s="23">
        <v>2</v>
      </c>
      <c r="I9" s="23" t="s">
        <v>43</v>
      </c>
    </row>
    <row r="10" s="14" customFormat="1" spans="1:9">
      <c r="A10" s="23"/>
      <c r="B10" s="14" t="s">
        <v>87</v>
      </c>
      <c r="C10" s="24" t="s">
        <v>97</v>
      </c>
      <c r="E10" s="23">
        <v>1</v>
      </c>
      <c r="F10" s="14" t="s">
        <v>94</v>
      </c>
      <c r="G10" s="23"/>
      <c r="H10" s="23">
        <v>1</v>
      </c>
      <c r="I10" s="23" t="s">
        <v>43</v>
      </c>
    </row>
    <row r="11" s="15" customFormat="1" spans="1:9">
      <c r="A11" s="25"/>
      <c r="B11" s="15" t="s">
        <v>87</v>
      </c>
      <c r="C11" s="26" t="s">
        <v>99</v>
      </c>
      <c r="E11" s="25">
        <v>2</v>
      </c>
      <c r="F11" s="15" t="s">
        <v>94</v>
      </c>
      <c r="G11" s="25"/>
      <c r="H11" s="25">
        <v>0</v>
      </c>
      <c r="I11" s="25" t="s">
        <v>43</v>
      </c>
    </row>
    <row r="12" s="15" customFormat="1" spans="1:9">
      <c r="A12" s="25"/>
      <c r="B12" s="15" t="s">
        <v>87</v>
      </c>
      <c r="C12" s="26" t="s">
        <v>100</v>
      </c>
      <c r="E12" s="25">
        <v>2</v>
      </c>
      <c r="F12" s="15" t="s">
        <v>94</v>
      </c>
      <c r="G12" s="25"/>
      <c r="H12" s="25">
        <v>0</v>
      </c>
      <c r="I12" s="25" t="s">
        <v>43</v>
      </c>
    </row>
    <row r="13" s="15" customFormat="1" spans="1:9">
      <c r="A13" s="25"/>
      <c r="B13" s="15" t="s">
        <v>87</v>
      </c>
      <c r="C13" s="15" t="s">
        <v>101</v>
      </c>
      <c r="E13" s="25">
        <v>1</v>
      </c>
      <c r="F13" s="15" t="s">
        <v>90</v>
      </c>
      <c r="G13" s="25"/>
      <c r="H13" s="25">
        <v>1</v>
      </c>
      <c r="I13" s="25" t="s">
        <v>32</v>
      </c>
    </row>
    <row r="14" s="15" customFormat="1" spans="1:9">
      <c r="A14" s="25"/>
      <c r="B14" s="15" t="s">
        <v>87</v>
      </c>
      <c r="C14" s="15" t="s">
        <v>102</v>
      </c>
      <c r="E14" s="25">
        <v>1</v>
      </c>
      <c r="F14" s="15" t="s">
        <v>90</v>
      </c>
      <c r="G14" s="25"/>
      <c r="H14" s="25">
        <v>1</v>
      </c>
      <c r="I14" s="25" t="s">
        <v>32</v>
      </c>
    </row>
    <row r="15" s="15" customFormat="1" spans="1:9">
      <c r="A15" s="25"/>
      <c r="B15" s="15" t="s">
        <v>87</v>
      </c>
      <c r="C15" s="15" t="s">
        <v>103</v>
      </c>
      <c r="E15" s="25">
        <v>2</v>
      </c>
      <c r="F15" s="15" t="s">
        <v>90</v>
      </c>
      <c r="G15" s="25"/>
      <c r="H15" s="25">
        <v>2</v>
      </c>
      <c r="I15" s="25" t="s">
        <v>32</v>
      </c>
    </row>
    <row r="16" s="15" customFormat="1" spans="1:9">
      <c r="A16" s="25"/>
      <c r="B16" s="15" t="s">
        <v>87</v>
      </c>
      <c r="C16" s="15" t="s">
        <v>104</v>
      </c>
      <c r="E16" s="25">
        <v>2</v>
      </c>
      <c r="F16" s="15" t="s">
        <v>90</v>
      </c>
      <c r="G16" s="25"/>
      <c r="H16" s="25">
        <v>2</v>
      </c>
      <c r="I16" s="25" t="s">
        <v>32</v>
      </c>
    </row>
    <row r="17" spans="1:9">
      <c r="A17" s="8">
        <v>2</v>
      </c>
      <c r="B17" s="7" t="s">
        <v>105</v>
      </c>
      <c r="C17" s="28" t="s">
        <v>106</v>
      </c>
      <c r="E17" s="8">
        <v>1</v>
      </c>
      <c r="F17" s="7" t="s">
        <v>94</v>
      </c>
      <c r="H17" s="8">
        <v>1</v>
      </c>
      <c r="I17" s="8" t="s">
        <v>32</v>
      </c>
    </row>
    <row r="18" spans="2:9">
      <c r="B18" s="7" t="s">
        <v>105</v>
      </c>
      <c r="C18" s="28" t="s">
        <v>107</v>
      </c>
      <c r="E18" s="8">
        <v>2</v>
      </c>
      <c r="F18" s="7" t="s">
        <v>94</v>
      </c>
      <c r="H18" s="8">
        <v>2</v>
      </c>
      <c r="I18" s="8" t="s">
        <v>32</v>
      </c>
    </row>
    <row r="19" spans="2:9">
      <c r="B19" s="7" t="s">
        <v>105</v>
      </c>
      <c r="C19" s="28" t="s">
        <v>108</v>
      </c>
      <c r="E19" s="8">
        <v>1</v>
      </c>
      <c r="F19" s="7" t="s">
        <v>94</v>
      </c>
      <c r="H19" s="8">
        <v>1</v>
      </c>
      <c r="I19" s="8" t="s">
        <v>32</v>
      </c>
    </row>
    <row r="20" spans="2:9">
      <c r="B20" s="7" t="s">
        <v>105</v>
      </c>
      <c r="C20" s="28" t="s">
        <v>109</v>
      </c>
      <c r="E20" s="8">
        <v>2</v>
      </c>
      <c r="F20" s="7" t="s">
        <v>94</v>
      </c>
      <c r="H20" s="8">
        <v>2</v>
      </c>
      <c r="I20" s="8" t="s">
        <v>32</v>
      </c>
    </row>
    <row r="21" spans="2:9">
      <c r="B21" s="7" t="s">
        <v>105</v>
      </c>
      <c r="C21" s="28" t="s">
        <v>97</v>
      </c>
      <c r="E21" s="8">
        <v>2</v>
      </c>
      <c r="F21" s="7" t="s">
        <v>94</v>
      </c>
      <c r="G21" s="8" t="s">
        <v>110</v>
      </c>
      <c r="H21" s="8">
        <v>2</v>
      </c>
      <c r="I21" s="8" t="s">
        <v>32</v>
      </c>
    </row>
    <row r="22" spans="2:8">
      <c r="B22" s="7" t="s">
        <v>105</v>
      </c>
      <c r="C22" s="7" t="s">
        <v>111</v>
      </c>
      <c r="E22" s="8">
        <v>1</v>
      </c>
      <c r="F22" s="7" t="s">
        <v>94</v>
      </c>
      <c r="G22" s="8" t="s">
        <v>112</v>
      </c>
      <c r="H22" s="8" t="s">
        <v>113</v>
      </c>
    </row>
    <row r="23" spans="2:8">
      <c r="B23" s="7" t="s">
        <v>105</v>
      </c>
      <c r="C23" s="7" t="s">
        <v>114</v>
      </c>
      <c r="E23" s="8">
        <v>1</v>
      </c>
      <c r="F23" s="7" t="s">
        <v>94</v>
      </c>
      <c r="G23" s="8" t="s">
        <v>112</v>
      </c>
      <c r="H23" s="8" t="s">
        <v>113</v>
      </c>
    </row>
    <row r="24" spans="2:8">
      <c r="B24" s="7" t="s">
        <v>105</v>
      </c>
      <c r="C24" s="7" t="s">
        <v>115</v>
      </c>
      <c r="E24" s="8">
        <v>1</v>
      </c>
      <c r="F24" s="7" t="s">
        <v>94</v>
      </c>
      <c r="G24" s="8" t="s">
        <v>112</v>
      </c>
      <c r="H24" s="8" t="s">
        <v>113</v>
      </c>
    </row>
    <row r="25" spans="2:6">
      <c r="B25" s="7" t="s">
        <v>105</v>
      </c>
      <c r="C25" s="7" t="s">
        <v>116</v>
      </c>
      <c r="E25" s="8">
        <v>1</v>
      </c>
      <c r="F25" s="7" t="s">
        <v>94</v>
      </c>
    </row>
    <row r="26" spans="2:8">
      <c r="B26" s="7" t="s">
        <v>105</v>
      </c>
      <c r="C26" s="7" t="s">
        <v>117</v>
      </c>
      <c r="D26" s="7" t="s">
        <v>118</v>
      </c>
      <c r="E26" s="8">
        <v>1</v>
      </c>
      <c r="F26" s="7" t="s">
        <v>90</v>
      </c>
      <c r="G26" s="8" t="s">
        <v>119</v>
      </c>
      <c r="H26" s="8" t="s">
        <v>113</v>
      </c>
    </row>
    <row r="27" spans="2:8">
      <c r="B27" s="7" t="s">
        <v>105</v>
      </c>
      <c r="C27" s="7" t="s">
        <v>120</v>
      </c>
      <c r="E27" s="8">
        <v>1</v>
      </c>
      <c r="F27" s="7" t="s">
        <v>90</v>
      </c>
      <c r="H27" s="8" t="s">
        <v>113</v>
      </c>
    </row>
    <row r="28" spans="2:8">
      <c r="B28" s="7" t="s">
        <v>105</v>
      </c>
      <c r="C28" s="7" t="s">
        <v>121</v>
      </c>
      <c r="E28" s="8">
        <v>1</v>
      </c>
      <c r="F28" s="7" t="s">
        <v>90</v>
      </c>
      <c r="H28" s="8" t="s">
        <v>113</v>
      </c>
    </row>
    <row r="29" spans="2:8">
      <c r="B29" s="7" t="s">
        <v>105</v>
      </c>
      <c r="C29" s="7" t="s">
        <v>122</v>
      </c>
      <c r="E29" s="8">
        <v>1</v>
      </c>
      <c r="F29" s="7" t="s">
        <v>90</v>
      </c>
      <c r="H29" s="8" t="s">
        <v>113</v>
      </c>
    </row>
    <row r="30" spans="2:8">
      <c r="B30" s="7" t="s">
        <v>105</v>
      </c>
      <c r="C30" s="7" t="s">
        <v>123</v>
      </c>
      <c r="E30" s="8">
        <v>1</v>
      </c>
      <c r="F30" s="7" t="s">
        <v>124</v>
      </c>
      <c r="H30" s="8" t="s">
        <v>125</v>
      </c>
    </row>
    <row r="31" spans="2:8">
      <c r="B31" s="7" t="s">
        <v>105</v>
      </c>
      <c r="C31" s="7" t="s">
        <v>57</v>
      </c>
      <c r="E31" s="8">
        <v>1</v>
      </c>
      <c r="F31" s="7" t="s">
        <v>58</v>
      </c>
      <c r="H31" s="8" t="s">
        <v>125</v>
      </c>
    </row>
    <row r="32" s="12" customFormat="1" spans="1:10">
      <c r="A32" s="18">
        <v>3</v>
      </c>
      <c r="B32" s="12" t="s">
        <v>126</v>
      </c>
      <c r="C32" s="12" t="s">
        <v>127</v>
      </c>
      <c r="D32" s="12" t="s">
        <v>128</v>
      </c>
      <c r="E32" s="18">
        <v>1</v>
      </c>
      <c r="F32" s="12" t="s">
        <v>90</v>
      </c>
      <c r="G32" s="18"/>
      <c r="H32" s="18">
        <v>2</v>
      </c>
      <c r="I32" s="18" t="s">
        <v>32</v>
      </c>
      <c r="J32" s="12" t="s">
        <v>42</v>
      </c>
    </row>
    <row r="33" s="12" customFormat="1" spans="1:9">
      <c r="A33" s="18"/>
      <c r="B33" s="12" t="s">
        <v>126</v>
      </c>
      <c r="C33" s="12" t="s">
        <v>129</v>
      </c>
      <c r="E33" s="18">
        <v>1</v>
      </c>
      <c r="F33" s="12" t="s">
        <v>94</v>
      </c>
      <c r="G33" s="18"/>
      <c r="H33" s="18">
        <v>1</v>
      </c>
      <c r="I33" s="18" t="s">
        <v>32</v>
      </c>
    </row>
    <row r="34" s="12" customFormat="1" spans="1:9">
      <c r="A34" s="18"/>
      <c r="B34" s="12" t="s">
        <v>126</v>
      </c>
      <c r="C34" s="12" t="s">
        <v>130</v>
      </c>
      <c r="E34" s="18">
        <v>1</v>
      </c>
      <c r="F34" s="12" t="s">
        <v>94</v>
      </c>
      <c r="G34" s="18"/>
      <c r="H34" s="18">
        <v>1</v>
      </c>
      <c r="I34" s="18" t="s">
        <v>32</v>
      </c>
    </row>
    <row r="35" s="12" customFormat="1" spans="1:9">
      <c r="A35" s="18"/>
      <c r="B35" s="12" t="s">
        <v>126</v>
      </c>
      <c r="C35" s="12" t="s">
        <v>131</v>
      </c>
      <c r="E35" s="18">
        <v>1</v>
      </c>
      <c r="F35" s="12" t="s">
        <v>94</v>
      </c>
      <c r="G35" s="18"/>
      <c r="H35" s="18">
        <v>1</v>
      </c>
      <c r="I35" s="18" t="s">
        <v>32</v>
      </c>
    </row>
    <row r="36" s="12" customFormat="1" spans="1:9">
      <c r="A36" s="18"/>
      <c r="B36" s="12" t="s">
        <v>126</v>
      </c>
      <c r="C36" s="12" t="s">
        <v>132</v>
      </c>
      <c r="E36" s="18">
        <v>1</v>
      </c>
      <c r="F36" s="12" t="s">
        <v>124</v>
      </c>
      <c r="G36" s="18"/>
      <c r="H36" s="18" t="s">
        <v>125</v>
      </c>
      <c r="I36" s="12" t="s">
        <v>124</v>
      </c>
    </row>
    <row r="37" spans="1:9">
      <c r="A37" s="8">
        <v>2</v>
      </c>
      <c r="B37" s="7" t="s">
        <v>133</v>
      </c>
      <c r="C37" s="28" t="s">
        <v>106</v>
      </c>
      <c r="E37" s="8">
        <v>1</v>
      </c>
      <c r="F37" s="7" t="s">
        <v>94</v>
      </c>
      <c r="H37" s="8">
        <v>1</v>
      </c>
      <c r="I37" s="8" t="s">
        <v>32</v>
      </c>
    </row>
    <row r="38" spans="2:9">
      <c r="B38" s="7" t="s">
        <v>133</v>
      </c>
      <c r="C38" s="28" t="s">
        <v>107</v>
      </c>
      <c r="E38" s="8">
        <v>2</v>
      </c>
      <c r="F38" s="7" t="s">
        <v>94</v>
      </c>
      <c r="H38" s="8">
        <v>2</v>
      </c>
      <c r="I38" s="8" t="s">
        <v>32</v>
      </c>
    </row>
    <row r="39" spans="2:9">
      <c r="B39" s="7" t="s">
        <v>133</v>
      </c>
      <c r="C39" s="28" t="s">
        <v>108</v>
      </c>
      <c r="E39" s="8">
        <v>1</v>
      </c>
      <c r="F39" s="7" t="s">
        <v>94</v>
      </c>
      <c r="H39" s="8">
        <v>1</v>
      </c>
      <c r="I39" s="8" t="s">
        <v>32</v>
      </c>
    </row>
    <row r="40" spans="2:9">
      <c r="B40" s="7" t="s">
        <v>133</v>
      </c>
      <c r="C40" s="28" t="s">
        <v>109</v>
      </c>
      <c r="E40" s="8">
        <v>2</v>
      </c>
      <c r="F40" s="7" t="s">
        <v>94</v>
      </c>
      <c r="H40" s="8">
        <v>2</v>
      </c>
      <c r="I40" s="8" t="s">
        <v>32</v>
      </c>
    </row>
    <row r="41" spans="2:9">
      <c r="B41" s="7" t="s">
        <v>133</v>
      </c>
      <c r="C41" s="28" t="s">
        <v>97</v>
      </c>
      <c r="E41" s="8">
        <v>2</v>
      </c>
      <c r="F41" s="7" t="s">
        <v>94</v>
      </c>
      <c r="G41" s="8" t="s">
        <v>110</v>
      </c>
      <c r="H41" s="8">
        <v>2</v>
      </c>
      <c r="I41" s="8" t="s">
        <v>32</v>
      </c>
    </row>
    <row r="42" spans="2:8">
      <c r="B42" s="7" t="s">
        <v>133</v>
      </c>
      <c r="C42" s="7" t="s">
        <v>111</v>
      </c>
      <c r="E42" s="8">
        <v>1</v>
      </c>
      <c r="F42" s="7" t="s">
        <v>94</v>
      </c>
      <c r="G42" s="8" t="s">
        <v>112</v>
      </c>
      <c r="H42" s="8" t="s">
        <v>113</v>
      </c>
    </row>
    <row r="43" spans="2:8">
      <c r="B43" s="7" t="s">
        <v>133</v>
      </c>
      <c r="C43" s="7" t="s">
        <v>114</v>
      </c>
      <c r="E43" s="8">
        <v>1</v>
      </c>
      <c r="F43" s="7" t="s">
        <v>94</v>
      </c>
      <c r="G43" s="8" t="s">
        <v>112</v>
      </c>
      <c r="H43" s="8" t="s">
        <v>113</v>
      </c>
    </row>
    <row r="44" spans="2:8">
      <c r="B44" s="7" t="s">
        <v>133</v>
      </c>
      <c r="C44" s="7" t="s">
        <v>115</v>
      </c>
      <c r="E44" s="8">
        <v>1</v>
      </c>
      <c r="F44" s="7" t="s">
        <v>94</v>
      </c>
      <c r="G44" s="8" t="s">
        <v>112</v>
      </c>
      <c r="H44" s="8" t="s">
        <v>113</v>
      </c>
    </row>
    <row r="45" spans="2:6">
      <c r="B45" s="7" t="s">
        <v>133</v>
      </c>
      <c r="C45" s="7" t="s">
        <v>116</v>
      </c>
      <c r="E45" s="8">
        <v>1</v>
      </c>
      <c r="F45" s="7" t="s">
        <v>94</v>
      </c>
    </row>
    <row r="46" spans="2:8">
      <c r="B46" s="7" t="s">
        <v>133</v>
      </c>
      <c r="C46" s="7" t="s">
        <v>117</v>
      </c>
      <c r="D46" s="7" t="s">
        <v>118</v>
      </c>
      <c r="E46" s="8">
        <v>1</v>
      </c>
      <c r="F46" s="7" t="s">
        <v>90</v>
      </c>
      <c r="G46" s="8" t="s">
        <v>119</v>
      </c>
      <c r="H46" s="8" t="s">
        <v>113</v>
      </c>
    </row>
    <row r="47" spans="2:8">
      <c r="B47" s="7" t="s">
        <v>133</v>
      </c>
      <c r="C47" s="7" t="s">
        <v>120</v>
      </c>
      <c r="E47" s="8">
        <v>1</v>
      </c>
      <c r="F47" s="7" t="s">
        <v>90</v>
      </c>
      <c r="H47" s="8" t="s">
        <v>113</v>
      </c>
    </row>
    <row r="48" spans="2:8">
      <c r="B48" s="7" t="s">
        <v>133</v>
      </c>
      <c r="C48" s="7" t="s">
        <v>121</v>
      </c>
      <c r="E48" s="8">
        <v>1</v>
      </c>
      <c r="F48" s="7" t="s">
        <v>90</v>
      </c>
      <c r="H48" s="8" t="s">
        <v>113</v>
      </c>
    </row>
    <row r="49" spans="2:8">
      <c r="B49" s="7" t="s">
        <v>133</v>
      </c>
      <c r="C49" s="7" t="s">
        <v>122</v>
      </c>
      <c r="E49" s="8">
        <v>1</v>
      </c>
      <c r="F49" s="7" t="s">
        <v>90</v>
      </c>
      <c r="H49" s="8" t="s">
        <v>113</v>
      </c>
    </row>
    <row r="50" spans="2:8">
      <c r="B50" s="7" t="s">
        <v>133</v>
      </c>
      <c r="C50" s="7" t="s">
        <v>123</v>
      </c>
      <c r="E50" s="8">
        <v>1</v>
      </c>
      <c r="F50" s="7" t="s">
        <v>124</v>
      </c>
      <c r="H50" s="8" t="s">
        <v>125</v>
      </c>
    </row>
    <row r="51" spans="2:8">
      <c r="B51" s="7" t="s">
        <v>133</v>
      </c>
      <c r="C51" s="7" t="s">
        <v>57</v>
      </c>
      <c r="E51" s="8">
        <v>1</v>
      </c>
      <c r="F51" s="7" t="s">
        <v>58</v>
      </c>
      <c r="H51" s="8" t="s">
        <v>125</v>
      </c>
    </row>
    <row r="52" spans="1:9">
      <c r="A52" s="8">
        <v>2</v>
      </c>
      <c r="B52" s="7" t="s">
        <v>134</v>
      </c>
      <c r="C52" s="28" t="s">
        <v>106</v>
      </c>
      <c r="E52" s="8">
        <v>1</v>
      </c>
      <c r="F52" s="7" t="s">
        <v>94</v>
      </c>
      <c r="H52" s="8">
        <v>1</v>
      </c>
      <c r="I52" s="8" t="s">
        <v>32</v>
      </c>
    </row>
    <row r="53" spans="2:9">
      <c r="B53" s="7" t="s">
        <v>134</v>
      </c>
      <c r="C53" s="28" t="s">
        <v>107</v>
      </c>
      <c r="E53" s="8">
        <v>2</v>
      </c>
      <c r="F53" s="7" t="s">
        <v>94</v>
      </c>
      <c r="H53" s="8">
        <v>2</v>
      </c>
      <c r="I53" s="8" t="s">
        <v>32</v>
      </c>
    </row>
    <row r="54" spans="2:9">
      <c r="B54" s="7" t="s">
        <v>134</v>
      </c>
      <c r="C54" s="28" t="s">
        <v>108</v>
      </c>
      <c r="E54" s="8">
        <v>1</v>
      </c>
      <c r="F54" s="7" t="s">
        <v>94</v>
      </c>
      <c r="H54" s="8">
        <v>1</v>
      </c>
      <c r="I54" s="8" t="s">
        <v>32</v>
      </c>
    </row>
    <row r="55" spans="2:9">
      <c r="B55" s="7" t="s">
        <v>134</v>
      </c>
      <c r="C55" s="28" t="s">
        <v>109</v>
      </c>
      <c r="E55" s="8">
        <v>2</v>
      </c>
      <c r="F55" s="7" t="s">
        <v>94</v>
      </c>
      <c r="H55" s="8">
        <v>2</v>
      </c>
      <c r="I55" s="8" t="s">
        <v>32</v>
      </c>
    </row>
    <row r="56" spans="2:9">
      <c r="B56" s="7" t="s">
        <v>134</v>
      </c>
      <c r="C56" s="28" t="s">
        <v>97</v>
      </c>
      <c r="E56" s="8">
        <v>2</v>
      </c>
      <c r="F56" s="7" t="s">
        <v>94</v>
      </c>
      <c r="G56" s="8" t="s">
        <v>110</v>
      </c>
      <c r="H56" s="8">
        <v>2</v>
      </c>
      <c r="I56" s="8" t="s">
        <v>32</v>
      </c>
    </row>
    <row r="57" spans="2:8">
      <c r="B57" s="7" t="s">
        <v>134</v>
      </c>
      <c r="C57" s="7" t="s">
        <v>111</v>
      </c>
      <c r="E57" s="8">
        <v>1</v>
      </c>
      <c r="F57" s="7" t="s">
        <v>94</v>
      </c>
      <c r="G57" s="8" t="s">
        <v>112</v>
      </c>
      <c r="H57" s="8" t="s">
        <v>113</v>
      </c>
    </row>
    <row r="58" spans="2:8">
      <c r="B58" s="7" t="s">
        <v>134</v>
      </c>
      <c r="C58" s="7" t="s">
        <v>114</v>
      </c>
      <c r="E58" s="8">
        <v>1</v>
      </c>
      <c r="F58" s="7" t="s">
        <v>94</v>
      </c>
      <c r="G58" s="8" t="s">
        <v>112</v>
      </c>
      <c r="H58" s="8" t="s">
        <v>113</v>
      </c>
    </row>
    <row r="59" spans="2:8">
      <c r="B59" s="7" t="s">
        <v>134</v>
      </c>
      <c r="C59" s="7" t="s">
        <v>115</v>
      </c>
      <c r="E59" s="8">
        <v>1</v>
      </c>
      <c r="F59" s="7" t="s">
        <v>94</v>
      </c>
      <c r="G59" s="8" t="s">
        <v>112</v>
      </c>
      <c r="H59" s="8" t="s">
        <v>113</v>
      </c>
    </row>
    <row r="60" spans="2:6">
      <c r="B60" s="7" t="s">
        <v>134</v>
      </c>
      <c r="C60" s="7" t="s">
        <v>116</v>
      </c>
      <c r="E60" s="8">
        <v>1</v>
      </c>
      <c r="F60" s="7" t="s">
        <v>94</v>
      </c>
    </row>
    <row r="61" spans="2:8">
      <c r="B61" s="7" t="s">
        <v>134</v>
      </c>
      <c r="C61" s="7" t="s">
        <v>117</v>
      </c>
      <c r="D61" s="7" t="s">
        <v>118</v>
      </c>
      <c r="E61" s="8">
        <v>1</v>
      </c>
      <c r="F61" s="7" t="s">
        <v>90</v>
      </c>
      <c r="G61" s="8" t="s">
        <v>119</v>
      </c>
      <c r="H61" s="8" t="s">
        <v>113</v>
      </c>
    </row>
    <row r="62" spans="2:8">
      <c r="B62" s="7" t="s">
        <v>134</v>
      </c>
      <c r="C62" s="7" t="s">
        <v>120</v>
      </c>
      <c r="E62" s="8">
        <v>1</v>
      </c>
      <c r="F62" s="7" t="s">
        <v>90</v>
      </c>
      <c r="H62" s="8" t="s">
        <v>113</v>
      </c>
    </row>
    <row r="63" spans="2:8">
      <c r="B63" s="7" t="s">
        <v>134</v>
      </c>
      <c r="C63" s="7" t="s">
        <v>121</v>
      </c>
      <c r="E63" s="8">
        <v>1</v>
      </c>
      <c r="F63" s="7" t="s">
        <v>90</v>
      </c>
      <c r="H63" s="8" t="s">
        <v>113</v>
      </c>
    </row>
    <row r="64" spans="2:8">
      <c r="B64" s="7" t="s">
        <v>134</v>
      </c>
      <c r="C64" s="7" t="s">
        <v>122</v>
      </c>
      <c r="E64" s="8">
        <v>1</v>
      </c>
      <c r="F64" s="7" t="s">
        <v>90</v>
      </c>
      <c r="H64" s="8" t="s">
        <v>113</v>
      </c>
    </row>
    <row r="65" spans="2:8">
      <c r="B65" s="7" t="s">
        <v>134</v>
      </c>
      <c r="C65" s="7" t="s">
        <v>123</v>
      </c>
      <c r="E65" s="8">
        <v>1</v>
      </c>
      <c r="F65" s="7" t="s">
        <v>124</v>
      </c>
      <c r="H65" s="8" t="s">
        <v>125</v>
      </c>
    </row>
    <row r="66" spans="2:8">
      <c r="B66" s="7" t="s">
        <v>134</v>
      </c>
      <c r="C66" s="7" t="s">
        <v>57</v>
      </c>
      <c r="E66" s="8">
        <v>1</v>
      </c>
      <c r="F66" s="7" t="s">
        <v>58</v>
      </c>
      <c r="H66" s="8" t="s">
        <v>125</v>
      </c>
    </row>
    <row r="67" spans="1:8">
      <c r="A67" s="8">
        <v>6</v>
      </c>
      <c r="B67" s="7" t="s">
        <v>50</v>
      </c>
      <c r="F67" s="7" t="s">
        <v>124</v>
      </c>
      <c r="H67" s="8" t="s">
        <v>125</v>
      </c>
    </row>
    <row r="68" spans="1:8">
      <c r="A68" s="8">
        <v>7</v>
      </c>
      <c r="B68" s="7" t="s">
        <v>54</v>
      </c>
      <c r="F68" s="7" t="s">
        <v>124</v>
      </c>
      <c r="H68" s="8" t="s">
        <v>125</v>
      </c>
    </row>
  </sheetData>
  <sortState ref="A9:I16">
    <sortCondition ref="F9:F16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opLeftCell="A7" workbookViewId="0">
      <selection activeCell="H22" sqref="H22:H26"/>
    </sheetView>
  </sheetViews>
  <sheetFormatPr defaultColWidth="9" defaultRowHeight="14"/>
  <cols>
    <col min="1" max="1" width="9" style="8"/>
    <col min="2" max="2" width="12.25" style="7" customWidth="1"/>
    <col min="3" max="3" width="34.5833333333333" style="7" customWidth="1"/>
    <col min="4" max="4" width="8.75" style="7" customWidth="1"/>
    <col min="5" max="5" width="6.16666666666667" style="8" customWidth="1"/>
    <col min="6" max="6" width="9.41666666666667" style="7" customWidth="1"/>
    <col min="7" max="7" width="13.8333333333333" style="8" customWidth="1"/>
    <col min="8" max="8" width="13.5833333333333" style="8" customWidth="1"/>
    <col min="9" max="9" width="9" style="8"/>
    <col min="10" max="10" width="10" style="7" customWidth="1"/>
    <col min="11" max="16384" width="9" style="7"/>
  </cols>
  <sheetData>
    <row r="1" ht="22.5" customHeight="1" spans="1:9">
      <c r="A1" s="16" t="s">
        <v>1</v>
      </c>
      <c r="B1" s="16" t="s">
        <v>81</v>
      </c>
      <c r="C1" s="16" t="s">
        <v>82</v>
      </c>
      <c r="D1" s="16" t="s">
        <v>83</v>
      </c>
      <c r="E1" s="16" t="s">
        <v>84</v>
      </c>
      <c r="F1" s="16" t="s">
        <v>26</v>
      </c>
      <c r="G1" s="17" t="s">
        <v>85</v>
      </c>
      <c r="H1" s="17" t="s">
        <v>86</v>
      </c>
      <c r="I1" s="17" t="s">
        <v>27</v>
      </c>
    </row>
    <row r="2" s="12" customFormat="1" spans="1:10">
      <c r="A2" s="18">
        <v>1</v>
      </c>
      <c r="B2" s="12" t="s">
        <v>87</v>
      </c>
      <c r="C2" s="19" t="s">
        <v>88</v>
      </c>
      <c r="D2" s="12" t="s">
        <v>89</v>
      </c>
      <c r="E2" s="18">
        <v>2</v>
      </c>
      <c r="F2" s="12" t="s">
        <v>90</v>
      </c>
      <c r="G2" s="18"/>
      <c r="H2" s="18">
        <v>2</v>
      </c>
      <c r="I2" s="20" t="s">
        <v>43</v>
      </c>
      <c r="J2" s="12" t="s">
        <v>135</v>
      </c>
    </row>
    <row r="3" s="12" customFormat="1" spans="1:10">
      <c r="A3" s="18"/>
      <c r="B3" s="12" t="s">
        <v>87</v>
      </c>
      <c r="C3" s="12" t="s">
        <v>91</v>
      </c>
      <c r="D3" s="12" t="s">
        <v>92</v>
      </c>
      <c r="E3" s="18">
        <v>2</v>
      </c>
      <c r="F3" s="12" t="s">
        <v>90</v>
      </c>
      <c r="G3" s="18"/>
      <c r="H3" s="18">
        <v>2</v>
      </c>
      <c r="I3" s="20" t="s">
        <v>43</v>
      </c>
      <c r="J3" s="12" t="s">
        <v>136</v>
      </c>
    </row>
    <row r="4" s="13" customFormat="1" spans="1:9">
      <c r="A4" s="20"/>
      <c r="B4" s="13" t="s">
        <v>87</v>
      </c>
      <c r="C4" s="21" t="s">
        <v>93</v>
      </c>
      <c r="E4" s="20">
        <v>2</v>
      </c>
      <c r="F4" s="13" t="s">
        <v>94</v>
      </c>
      <c r="G4" s="20"/>
      <c r="H4" s="20">
        <v>2</v>
      </c>
      <c r="I4" s="20" t="s">
        <v>43</v>
      </c>
    </row>
    <row r="5" s="13" customFormat="1" spans="1:9">
      <c r="A5" s="20"/>
      <c r="B5" s="13" t="s">
        <v>87</v>
      </c>
      <c r="C5" s="21" t="s">
        <v>95</v>
      </c>
      <c r="E5" s="20">
        <v>2</v>
      </c>
      <c r="F5" s="13" t="s">
        <v>94</v>
      </c>
      <c r="G5" s="20"/>
      <c r="H5" s="20">
        <v>2</v>
      </c>
      <c r="I5" s="20" t="s">
        <v>43</v>
      </c>
    </row>
    <row r="6" s="13" customFormat="1" spans="1:9">
      <c r="A6" s="20"/>
      <c r="B6" s="13" t="s">
        <v>87</v>
      </c>
      <c r="C6" s="13" t="s">
        <v>96</v>
      </c>
      <c r="E6" s="20">
        <v>2</v>
      </c>
      <c r="F6" s="13" t="s">
        <v>94</v>
      </c>
      <c r="G6" s="20"/>
      <c r="H6" s="20">
        <v>2</v>
      </c>
      <c r="I6" s="20" t="s">
        <v>43</v>
      </c>
    </row>
    <row r="7" s="13" customFormat="1" spans="1:9">
      <c r="A7" s="20"/>
      <c r="B7" s="13" t="s">
        <v>87</v>
      </c>
      <c r="C7" s="13" t="s">
        <v>96</v>
      </c>
      <c r="E7" s="20">
        <v>2</v>
      </c>
      <c r="F7" s="13" t="s">
        <v>94</v>
      </c>
      <c r="G7" s="20"/>
      <c r="H7" s="20">
        <v>2</v>
      </c>
      <c r="I7" s="20" t="s">
        <v>43</v>
      </c>
    </row>
    <row r="8" s="13" customFormat="1" spans="1:10">
      <c r="A8" s="20"/>
      <c r="B8" s="13" t="s">
        <v>87</v>
      </c>
      <c r="C8" s="22" t="s">
        <v>97</v>
      </c>
      <c r="E8" s="20">
        <v>1</v>
      </c>
      <c r="F8" s="13" t="s">
        <v>94</v>
      </c>
      <c r="G8" s="20"/>
      <c r="H8" s="20">
        <v>2</v>
      </c>
      <c r="I8" s="20" t="s">
        <v>43</v>
      </c>
      <c r="J8" s="13" t="s">
        <v>137</v>
      </c>
    </row>
    <row r="9" s="14" customFormat="1" spans="1:9">
      <c r="A9" s="23"/>
      <c r="B9" s="15" t="s">
        <v>138</v>
      </c>
      <c r="C9" s="14" t="s">
        <v>98</v>
      </c>
      <c r="E9" s="23">
        <v>2</v>
      </c>
      <c r="F9" s="14" t="s">
        <v>94</v>
      </c>
      <c r="G9" s="23"/>
      <c r="H9" s="23">
        <v>2</v>
      </c>
      <c r="I9" s="20" t="s">
        <v>43</v>
      </c>
    </row>
    <row r="10" s="14" customFormat="1" spans="1:9">
      <c r="A10" s="23"/>
      <c r="B10" s="15" t="s">
        <v>138</v>
      </c>
      <c r="C10" s="24" t="s">
        <v>97</v>
      </c>
      <c r="E10" s="23">
        <v>1</v>
      </c>
      <c r="F10" s="14" t="s">
        <v>94</v>
      </c>
      <c r="G10" s="23"/>
      <c r="H10" s="23">
        <v>2</v>
      </c>
      <c r="I10" s="20" t="s">
        <v>43</v>
      </c>
    </row>
    <row r="11" s="15" customFormat="1" spans="1:9">
      <c r="A11" s="25"/>
      <c r="B11" s="15" t="s">
        <v>138</v>
      </c>
      <c r="C11" s="26" t="s">
        <v>99</v>
      </c>
      <c r="E11" s="25">
        <v>1</v>
      </c>
      <c r="F11" s="15" t="s">
        <v>94</v>
      </c>
      <c r="G11" s="25"/>
      <c r="H11" s="25">
        <v>1</v>
      </c>
      <c r="I11" s="20" t="s">
        <v>43</v>
      </c>
    </row>
    <row r="12" s="15" customFormat="1" spans="1:9">
      <c r="A12" s="25"/>
      <c r="B12" s="15" t="s">
        <v>138</v>
      </c>
      <c r="C12" s="26" t="s">
        <v>100</v>
      </c>
      <c r="E12" s="25">
        <v>1</v>
      </c>
      <c r="F12" s="15" t="s">
        <v>94</v>
      </c>
      <c r="G12" s="25"/>
      <c r="H12" s="25">
        <v>1</v>
      </c>
      <c r="I12" s="20" t="s">
        <v>43</v>
      </c>
    </row>
    <row r="13" s="15" customFormat="1" spans="1:10">
      <c r="A13" s="25"/>
      <c r="B13" s="15" t="s">
        <v>138</v>
      </c>
      <c r="C13" s="15" t="s">
        <v>101</v>
      </c>
      <c r="E13" s="25">
        <v>1</v>
      </c>
      <c r="F13" s="15" t="s">
        <v>90</v>
      </c>
      <c r="G13" s="25"/>
      <c r="H13" s="25">
        <v>1</v>
      </c>
      <c r="I13" s="20" t="s">
        <v>43</v>
      </c>
      <c r="J13" s="12" t="s">
        <v>135</v>
      </c>
    </row>
    <row r="14" s="15" customFormat="1" spans="1:10">
      <c r="A14" s="25"/>
      <c r="B14" s="15" t="s">
        <v>138</v>
      </c>
      <c r="C14" s="15" t="s">
        <v>102</v>
      </c>
      <c r="E14" s="25">
        <v>1</v>
      </c>
      <c r="F14" s="15" t="s">
        <v>90</v>
      </c>
      <c r="G14" s="25"/>
      <c r="H14" s="25">
        <v>1</v>
      </c>
      <c r="I14" s="20" t="s">
        <v>43</v>
      </c>
      <c r="J14" s="12" t="s">
        <v>135</v>
      </c>
    </row>
    <row r="15" s="15" customFormat="1" spans="1:10">
      <c r="A15" s="25"/>
      <c r="B15" s="15" t="s">
        <v>138</v>
      </c>
      <c r="C15" s="15" t="s">
        <v>103</v>
      </c>
      <c r="E15" s="25">
        <v>2</v>
      </c>
      <c r="F15" s="15" t="s">
        <v>90</v>
      </c>
      <c r="G15" s="25"/>
      <c r="H15" s="25">
        <v>2</v>
      </c>
      <c r="I15" s="20" t="s">
        <v>43</v>
      </c>
      <c r="J15" s="12" t="s">
        <v>135</v>
      </c>
    </row>
    <row r="16" s="15" customFormat="1" spans="1:10">
      <c r="A16" s="25"/>
      <c r="B16" s="15" t="s">
        <v>138</v>
      </c>
      <c r="C16" s="15" t="s">
        <v>104</v>
      </c>
      <c r="E16" s="25">
        <v>2</v>
      </c>
      <c r="F16" s="15" t="s">
        <v>90</v>
      </c>
      <c r="G16" s="25"/>
      <c r="H16" s="25">
        <v>2</v>
      </c>
      <c r="I16" s="20" t="s">
        <v>43</v>
      </c>
      <c r="J16" s="12" t="s">
        <v>135</v>
      </c>
    </row>
    <row r="17" s="12" customFormat="1" spans="1:10">
      <c r="A17" s="18">
        <v>2</v>
      </c>
      <c r="B17" s="12" t="s">
        <v>126</v>
      </c>
      <c r="C17" s="12" t="s">
        <v>127</v>
      </c>
      <c r="D17" s="12" t="s">
        <v>128</v>
      </c>
      <c r="E17" s="18">
        <v>1</v>
      </c>
      <c r="F17" s="12" t="s">
        <v>90</v>
      </c>
      <c r="G17" s="18"/>
      <c r="H17" s="18">
        <v>2</v>
      </c>
      <c r="I17" s="20" t="s">
        <v>139</v>
      </c>
      <c r="J17" s="12" t="s">
        <v>42</v>
      </c>
    </row>
    <row r="18" s="12" customFormat="1" spans="1:9">
      <c r="A18" s="18"/>
      <c r="B18" s="12" t="s">
        <v>126</v>
      </c>
      <c r="C18" s="12" t="s">
        <v>129</v>
      </c>
      <c r="E18" s="18">
        <v>1</v>
      </c>
      <c r="F18" s="12" t="s">
        <v>94</v>
      </c>
      <c r="G18" s="18"/>
      <c r="H18" s="18">
        <v>1</v>
      </c>
      <c r="I18" s="20" t="s">
        <v>43</v>
      </c>
    </row>
    <row r="19" s="12" customFormat="1" spans="1:9">
      <c r="A19" s="18"/>
      <c r="B19" s="12" t="s">
        <v>126</v>
      </c>
      <c r="C19" s="12" t="s">
        <v>130</v>
      </c>
      <c r="E19" s="18">
        <v>1</v>
      </c>
      <c r="F19" s="12" t="s">
        <v>94</v>
      </c>
      <c r="G19" s="18"/>
      <c r="H19" s="18">
        <v>1</v>
      </c>
      <c r="I19" s="20" t="s">
        <v>43</v>
      </c>
    </row>
    <row r="20" s="12" customFormat="1" spans="1:9">
      <c r="A20" s="18"/>
      <c r="B20" s="12" t="s">
        <v>126</v>
      </c>
      <c r="C20" s="12" t="s">
        <v>131</v>
      </c>
      <c r="E20" s="18">
        <v>1</v>
      </c>
      <c r="F20" s="12" t="s">
        <v>94</v>
      </c>
      <c r="G20" s="18"/>
      <c r="H20" s="18">
        <v>1</v>
      </c>
      <c r="I20" s="20" t="s">
        <v>43</v>
      </c>
    </row>
    <row r="21" s="12" customFormat="1" spans="1:9">
      <c r="A21" s="18"/>
      <c r="B21" s="12" t="s">
        <v>126</v>
      </c>
      <c r="C21" s="12" t="s">
        <v>132</v>
      </c>
      <c r="E21" s="18">
        <v>1</v>
      </c>
      <c r="F21" s="12" t="s">
        <v>124</v>
      </c>
      <c r="G21" s="18"/>
      <c r="H21" s="18" t="s">
        <v>125</v>
      </c>
      <c r="I21" s="12" t="s">
        <v>124</v>
      </c>
    </row>
    <row r="22" s="15" customFormat="1" spans="1:9">
      <c r="A22" s="25">
        <v>3</v>
      </c>
      <c r="B22" s="15" t="s">
        <v>105</v>
      </c>
      <c r="C22" s="27" t="s">
        <v>106</v>
      </c>
      <c r="E22" s="25">
        <v>1</v>
      </c>
      <c r="F22" s="15" t="s">
        <v>94</v>
      </c>
      <c r="G22" s="25" t="s">
        <v>140</v>
      </c>
      <c r="H22" s="25">
        <v>1</v>
      </c>
      <c r="I22" s="25" t="s">
        <v>43</v>
      </c>
    </row>
    <row r="23" s="15" customFormat="1" spans="1:9">
      <c r="A23" s="25"/>
      <c r="B23" s="15" t="s">
        <v>105</v>
      </c>
      <c r="C23" s="27" t="s">
        <v>107</v>
      </c>
      <c r="E23" s="25">
        <v>3</v>
      </c>
      <c r="F23" s="15" t="s">
        <v>94</v>
      </c>
      <c r="G23" s="25" t="s">
        <v>141</v>
      </c>
      <c r="H23" s="25">
        <v>3</v>
      </c>
      <c r="I23" s="25" t="s">
        <v>43</v>
      </c>
    </row>
    <row r="24" s="15" customFormat="1" spans="1:9">
      <c r="A24" s="25"/>
      <c r="B24" s="15" t="s">
        <v>105</v>
      </c>
      <c r="C24" s="27" t="s">
        <v>108</v>
      </c>
      <c r="E24" s="25">
        <v>1</v>
      </c>
      <c r="F24" s="15" t="s">
        <v>94</v>
      </c>
      <c r="G24" s="25" t="s">
        <v>140</v>
      </c>
      <c r="H24" s="25">
        <v>1</v>
      </c>
      <c r="I24" s="25" t="s">
        <v>43</v>
      </c>
    </row>
    <row r="25" s="15" customFormat="1" spans="1:9">
      <c r="A25" s="25"/>
      <c r="B25" s="15" t="s">
        <v>105</v>
      </c>
      <c r="C25" s="27" t="s">
        <v>109</v>
      </c>
      <c r="E25" s="25">
        <v>2</v>
      </c>
      <c r="F25" s="15" t="s">
        <v>94</v>
      </c>
      <c r="G25" s="25" t="s">
        <v>141</v>
      </c>
      <c r="H25" s="25">
        <v>2</v>
      </c>
      <c r="I25" s="25" t="s">
        <v>43</v>
      </c>
    </row>
    <row r="26" s="15" customFormat="1" spans="1:9">
      <c r="A26" s="25"/>
      <c r="B26" s="15" t="s">
        <v>105</v>
      </c>
      <c r="C26" s="27" t="s">
        <v>142</v>
      </c>
      <c r="E26" s="25">
        <v>1</v>
      </c>
      <c r="F26" s="15" t="s">
        <v>94</v>
      </c>
      <c r="G26" s="25" t="s">
        <v>141</v>
      </c>
      <c r="H26" s="25">
        <v>1</v>
      </c>
      <c r="I26" s="25" t="s">
        <v>43</v>
      </c>
    </row>
    <row r="27" s="15" customFormat="1" spans="1:9">
      <c r="A27" s="25"/>
      <c r="B27" s="15" t="s">
        <v>105</v>
      </c>
      <c r="C27" s="27" t="s">
        <v>97</v>
      </c>
      <c r="E27" s="25">
        <v>2</v>
      </c>
      <c r="F27" s="15" t="s">
        <v>94</v>
      </c>
      <c r="G27" s="25" t="s">
        <v>110</v>
      </c>
      <c r="H27" s="25">
        <v>2</v>
      </c>
      <c r="I27" s="25" t="s">
        <v>43</v>
      </c>
    </row>
    <row r="28" spans="2:8">
      <c r="B28" s="7" t="s">
        <v>105</v>
      </c>
      <c r="C28" s="7" t="s">
        <v>111</v>
      </c>
      <c r="E28" s="8">
        <v>1</v>
      </c>
      <c r="F28" s="7" t="s">
        <v>94</v>
      </c>
      <c r="G28" s="8" t="s">
        <v>112</v>
      </c>
      <c r="H28" s="8" t="s">
        <v>113</v>
      </c>
    </row>
    <row r="29" spans="2:8">
      <c r="B29" s="7" t="s">
        <v>105</v>
      </c>
      <c r="C29" s="7" t="s">
        <v>114</v>
      </c>
      <c r="E29" s="8">
        <v>1</v>
      </c>
      <c r="F29" s="7" t="s">
        <v>94</v>
      </c>
      <c r="G29" s="8" t="s">
        <v>112</v>
      </c>
      <c r="H29" s="8" t="s">
        <v>113</v>
      </c>
    </row>
    <row r="30" spans="2:8">
      <c r="B30" s="7" t="s">
        <v>105</v>
      </c>
      <c r="C30" s="7" t="s">
        <v>115</v>
      </c>
      <c r="E30" s="8">
        <v>1</v>
      </c>
      <c r="F30" s="7" t="s">
        <v>94</v>
      </c>
      <c r="G30" s="8" t="s">
        <v>112</v>
      </c>
      <c r="H30" s="8" t="s">
        <v>113</v>
      </c>
    </row>
    <row r="31" spans="2:6">
      <c r="B31" s="7" t="s">
        <v>105</v>
      </c>
      <c r="C31" s="7" t="s">
        <v>116</v>
      </c>
      <c r="E31" s="8">
        <v>1</v>
      </c>
      <c r="F31" s="7" t="s">
        <v>94</v>
      </c>
    </row>
    <row r="32" spans="2:8">
      <c r="B32" s="7" t="s">
        <v>105</v>
      </c>
      <c r="C32" s="7" t="s">
        <v>117</v>
      </c>
      <c r="D32" s="7" t="s">
        <v>118</v>
      </c>
      <c r="E32" s="8">
        <v>1</v>
      </c>
      <c r="F32" s="7" t="s">
        <v>90</v>
      </c>
      <c r="G32" s="8" t="s">
        <v>119</v>
      </c>
      <c r="H32" s="8" t="s">
        <v>113</v>
      </c>
    </row>
    <row r="33" spans="2:8">
      <c r="B33" s="7" t="s">
        <v>105</v>
      </c>
      <c r="C33" s="7" t="s">
        <v>120</v>
      </c>
      <c r="E33" s="8">
        <v>1</v>
      </c>
      <c r="F33" s="7" t="s">
        <v>90</v>
      </c>
      <c r="H33" s="8" t="s">
        <v>113</v>
      </c>
    </row>
    <row r="34" spans="2:8">
      <c r="B34" s="7" t="s">
        <v>105</v>
      </c>
      <c r="C34" s="7" t="s">
        <v>121</v>
      </c>
      <c r="E34" s="8">
        <v>1</v>
      </c>
      <c r="F34" s="7" t="s">
        <v>90</v>
      </c>
      <c r="H34" s="8" t="s">
        <v>113</v>
      </c>
    </row>
    <row r="35" spans="2:8">
      <c r="B35" s="7" t="s">
        <v>105</v>
      </c>
      <c r="C35" s="7" t="s">
        <v>122</v>
      </c>
      <c r="E35" s="8">
        <v>1</v>
      </c>
      <c r="F35" s="7" t="s">
        <v>90</v>
      </c>
      <c r="H35" s="8" t="s">
        <v>113</v>
      </c>
    </row>
    <row r="36" spans="2:8">
      <c r="B36" s="7" t="s">
        <v>105</v>
      </c>
      <c r="C36" s="7" t="s">
        <v>123</v>
      </c>
      <c r="E36" s="8">
        <v>1</v>
      </c>
      <c r="F36" s="7" t="s">
        <v>124</v>
      </c>
      <c r="H36" s="8" t="s">
        <v>125</v>
      </c>
    </row>
    <row r="37" spans="2:8">
      <c r="B37" s="7" t="s">
        <v>105</v>
      </c>
      <c r="C37" s="7" t="s">
        <v>57</v>
      </c>
      <c r="E37" s="8">
        <v>1</v>
      </c>
      <c r="F37" s="7" t="s">
        <v>58</v>
      </c>
      <c r="H37" s="8" t="s">
        <v>125</v>
      </c>
    </row>
    <row r="38" s="15" customFormat="1" spans="1:9">
      <c r="A38" s="25">
        <v>4</v>
      </c>
      <c r="B38" s="15" t="s">
        <v>133</v>
      </c>
      <c r="C38" s="27" t="s">
        <v>106</v>
      </c>
      <c r="E38" s="25">
        <v>1</v>
      </c>
      <c r="F38" s="15" t="s">
        <v>94</v>
      </c>
      <c r="G38" s="25" t="s">
        <v>140</v>
      </c>
      <c r="H38" s="25">
        <v>1</v>
      </c>
      <c r="I38" s="25" t="s">
        <v>43</v>
      </c>
    </row>
    <row r="39" s="15" customFormat="1" spans="1:9">
      <c r="A39" s="25"/>
      <c r="B39" s="15" t="s">
        <v>133</v>
      </c>
      <c r="C39" s="27" t="s">
        <v>107</v>
      </c>
      <c r="E39" s="25">
        <v>3</v>
      </c>
      <c r="F39" s="15" t="s">
        <v>94</v>
      </c>
      <c r="G39" s="25" t="s">
        <v>141</v>
      </c>
      <c r="H39" s="25">
        <v>3</v>
      </c>
      <c r="I39" s="25" t="s">
        <v>43</v>
      </c>
    </row>
    <row r="40" s="15" customFormat="1" spans="1:9">
      <c r="A40" s="25"/>
      <c r="B40" s="15" t="s">
        <v>133</v>
      </c>
      <c r="C40" s="27" t="s">
        <v>108</v>
      </c>
      <c r="E40" s="25">
        <v>1</v>
      </c>
      <c r="F40" s="15" t="s">
        <v>94</v>
      </c>
      <c r="G40" s="25" t="s">
        <v>140</v>
      </c>
      <c r="H40" s="25">
        <v>1</v>
      </c>
      <c r="I40" s="25" t="s">
        <v>43</v>
      </c>
    </row>
    <row r="41" s="15" customFormat="1" spans="1:9">
      <c r="A41" s="25"/>
      <c r="B41" s="15" t="s">
        <v>133</v>
      </c>
      <c r="C41" s="27" t="s">
        <v>109</v>
      </c>
      <c r="E41" s="25">
        <v>2</v>
      </c>
      <c r="F41" s="15" t="s">
        <v>94</v>
      </c>
      <c r="G41" s="25" t="s">
        <v>141</v>
      </c>
      <c r="H41" s="25">
        <v>2</v>
      </c>
      <c r="I41" s="25" t="s">
        <v>43</v>
      </c>
    </row>
    <row r="42" s="15" customFormat="1" spans="1:9">
      <c r="A42" s="25"/>
      <c r="B42" s="15" t="s">
        <v>133</v>
      </c>
      <c r="C42" s="27" t="s">
        <v>142</v>
      </c>
      <c r="E42" s="25">
        <v>1</v>
      </c>
      <c r="F42" s="15" t="s">
        <v>94</v>
      </c>
      <c r="G42" s="25" t="s">
        <v>141</v>
      </c>
      <c r="H42" s="25">
        <v>1</v>
      </c>
      <c r="I42" s="25" t="s">
        <v>43</v>
      </c>
    </row>
    <row r="43" s="15" customFormat="1" spans="1:9">
      <c r="A43" s="25"/>
      <c r="B43" s="15" t="s">
        <v>133</v>
      </c>
      <c r="C43" s="27" t="s">
        <v>97</v>
      </c>
      <c r="E43" s="25">
        <v>2</v>
      </c>
      <c r="F43" s="15" t="s">
        <v>94</v>
      </c>
      <c r="G43" s="25" t="s">
        <v>110</v>
      </c>
      <c r="H43" s="25">
        <v>2</v>
      </c>
      <c r="I43" s="25" t="s">
        <v>43</v>
      </c>
    </row>
    <row r="44" spans="2:8">
      <c r="B44" s="7" t="s">
        <v>133</v>
      </c>
      <c r="C44" s="7" t="s">
        <v>111</v>
      </c>
      <c r="E44" s="8">
        <v>1</v>
      </c>
      <c r="F44" s="7" t="s">
        <v>94</v>
      </c>
      <c r="G44" s="8" t="s">
        <v>112</v>
      </c>
      <c r="H44" s="8" t="s">
        <v>113</v>
      </c>
    </row>
    <row r="45" spans="2:8">
      <c r="B45" s="7" t="s">
        <v>133</v>
      </c>
      <c r="C45" s="7" t="s">
        <v>114</v>
      </c>
      <c r="E45" s="8">
        <v>1</v>
      </c>
      <c r="F45" s="7" t="s">
        <v>94</v>
      </c>
      <c r="G45" s="8" t="s">
        <v>112</v>
      </c>
      <c r="H45" s="8" t="s">
        <v>113</v>
      </c>
    </row>
    <row r="46" spans="2:8">
      <c r="B46" s="7" t="s">
        <v>133</v>
      </c>
      <c r="C46" s="7" t="s">
        <v>115</v>
      </c>
      <c r="E46" s="8">
        <v>1</v>
      </c>
      <c r="F46" s="7" t="s">
        <v>94</v>
      </c>
      <c r="G46" s="8" t="s">
        <v>112</v>
      </c>
      <c r="H46" s="8" t="s">
        <v>113</v>
      </c>
    </row>
    <row r="47" spans="2:6">
      <c r="B47" s="7" t="s">
        <v>133</v>
      </c>
      <c r="C47" s="7" t="s">
        <v>116</v>
      </c>
      <c r="E47" s="8">
        <v>1</v>
      </c>
      <c r="F47" s="7" t="s">
        <v>94</v>
      </c>
    </row>
    <row r="48" spans="2:8">
      <c r="B48" s="7" t="s">
        <v>133</v>
      </c>
      <c r="C48" s="7" t="s">
        <v>117</v>
      </c>
      <c r="D48" s="7" t="s">
        <v>118</v>
      </c>
      <c r="E48" s="8">
        <v>1</v>
      </c>
      <c r="F48" s="7" t="s">
        <v>90</v>
      </c>
      <c r="G48" s="8" t="s">
        <v>119</v>
      </c>
      <c r="H48" s="8" t="s">
        <v>113</v>
      </c>
    </row>
    <row r="49" spans="2:8">
      <c r="B49" s="7" t="s">
        <v>133</v>
      </c>
      <c r="C49" s="7" t="s">
        <v>120</v>
      </c>
      <c r="E49" s="8">
        <v>1</v>
      </c>
      <c r="F49" s="7" t="s">
        <v>90</v>
      </c>
      <c r="H49" s="8" t="s">
        <v>113</v>
      </c>
    </row>
    <row r="50" spans="2:8">
      <c r="B50" s="7" t="s">
        <v>133</v>
      </c>
      <c r="C50" s="7" t="s">
        <v>121</v>
      </c>
      <c r="E50" s="8">
        <v>1</v>
      </c>
      <c r="F50" s="7" t="s">
        <v>90</v>
      </c>
      <c r="H50" s="8" t="s">
        <v>113</v>
      </c>
    </row>
    <row r="51" spans="2:8">
      <c r="B51" s="7" t="s">
        <v>133</v>
      </c>
      <c r="C51" s="7" t="s">
        <v>122</v>
      </c>
      <c r="E51" s="8">
        <v>1</v>
      </c>
      <c r="F51" s="7" t="s">
        <v>90</v>
      </c>
      <c r="H51" s="8" t="s">
        <v>113</v>
      </c>
    </row>
    <row r="52" spans="2:8">
      <c r="B52" s="7" t="s">
        <v>133</v>
      </c>
      <c r="C52" s="7" t="s">
        <v>123</v>
      </c>
      <c r="E52" s="8">
        <v>1</v>
      </c>
      <c r="F52" s="7" t="s">
        <v>124</v>
      </c>
      <c r="H52" s="8" t="s">
        <v>125</v>
      </c>
    </row>
    <row r="53" spans="2:8">
      <c r="B53" s="7" t="s">
        <v>133</v>
      </c>
      <c r="C53" s="7" t="s">
        <v>57</v>
      </c>
      <c r="E53" s="8">
        <v>1</v>
      </c>
      <c r="F53" s="7" t="s">
        <v>58</v>
      </c>
      <c r="H53" s="8" t="s">
        <v>125</v>
      </c>
    </row>
    <row r="54" s="15" customFormat="1" spans="1:9">
      <c r="A54" s="25">
        <v>5</v>
      </c>
      <c r="B54" s="15" t="s">
        <v>134</v>
      </c>
      <c r="C54" s="27" t="s">
        <v>106</v>
      </c>
      <c r="E54" s="25">
        <v>1</v>
      </c>
      <c r="F54" s="15" t="s">
        <v>94</v>
      </c>
      <c r="G54" s="25" t="s">
        <v>140</v>
      </c>
      <c r="H54" s="25">
        <v>1</v>
      </c>
      <c r="I54" s="25" t="s">
        <v>43</v>
      </c>
    </row>
    <row r="55" s="15" customFormat="1" spans="1:9">
      <c r="A55" s="25"/>
      <c r="B55" s="15" t="s">
        <v>134</v>
      </c>
      <c r="C55" s="27" t="s">
        <v>107</v>
      </c>
      <c r="E55" s="25">
        <v>3</v>
      </c>
      <c r="F55" s="15" t="s">
        <v>94</v>
      </c>
      <c r="G55" s="25" t="s">
        <v>141</v>
      </c>
      <c r="H55" s="25">
        <v>3</v>
      </c>
      <c r="I55" s="25" t="s">
        <v>43</v>
      </c>
    </row>
    <row r="56" s="15" customFormat="1" spans="1:9">
      <c r="A56" s="25"/>
      <c r="B56" s="15" t="s">
        <v>134</v>
      </c>
      <c r="C56" s="27" t="s">
        <v>108</v>
      </c>
      <c r="E56" s="25">
        <v>1</v>
      </c>
      <c r="F56" s="15" t="s">
        <v>94</v>
      </c>
      <c r="G56" s="25" t="s">
        <v>140</v>
      </c>
      <c r="H56" s="25">
        <v>1</v>
      </c>
      <c r="I56" s="25" t="s">
        <v>43</v>
      </c>
    </row>
    <row r="57" s="15" customFormat="1" spans="1:9">
      <c r="A57" s="25"/>
      <c r="B57" s="15" t="s">
        <v>134</v>
      </c>
      <c r="C57" s="27" t="s">
        <v>109</v>
      </c>
      <c r="E57" s="25">
        <v>2</v>
      </c>
      <c r="F57" s="15" t="s">
        <v>94</v>
      </c>
      <c r="G57" s="25" t="s">
        <v>141</v>
      </c>
      <c r="H57" s="25">
        <v>2</v>
      </c>
      <c r="I57" s="25" t="s">
        <v>43</v>
      </c>
    </row>
    <row r="58" s="15" customFormat="1" spans="1:9">
      <c r="A58" s="25"/>
      <c r="B58" s="15" t="s">
        <v>133</v>
      </c>
      <c r="C58" s="27" t="s">
        <v>142</v>
      </c>
      <c r="E58" s="25">
        <v>1</v>
      </c>
      <c r="F58" s="15" t="s">
        <v>94</v>
      </c>
      <c r="G58" s="25" t="s">
        <v>141</v>
      </c>
      <c r="H58" s="25">
        <v>1</v>
      </c>
      <c r="I58" s="25" t="s">
        <v>43</v>
      </c>
    </row>
    <row r="59" s="15" customFormat="1" spans="1:9">
      <c r="A59" s="25"/>
      <c r="B59" s="15" t="s">
        <v>134</v>
      </c>
      <c r="C59" s="27" t="s">
        <v>97</v>
      </c>
      <c r="E59" s="25">
        <v>2</v>
      </c>
      <c r="F59" s="15" t="s">
        <v>94</v>
      </c>
      <c r="G59" s="25" t="s">
        <v>110</v>
      </c>
      <c r="H59" s="25">
        <v>2</v>
      </c>
      <c r="I59" s="25" t="s">
        <v>43</v>
      </c>
    </row>
    <row r="60" spans="2:8">
      <c r="B60" s="7" t="s">
        <v>134</v>
      </c>
      <c r="C60" s="7" t="s">
        <v>111</v>
      </c>
      <c r="E60" s="8">
        <v>1</v>
      </c>
      <c r="F60" s="7" t="s">
        <v>94</v>
      </c>
      <c r="G60" s="8" t="s">
        <v>112</v>
      </c>
      <c r="H60" s="8" t="s">
        <v>113</v>
      </c>
    </row>
    <row r="61" spans="2:8">
      <c r="B61" s="7" t="s">
        <v>134</v>
      </c>
      <c r="C61" s="7" t="s">
        <v>114</v>
      </c>
      <c r="E61" s="8">
        <v>1</v>
      </c>
      <c r="F61" s="7" t="s">
        <v>94</v>
      </c>
      <c r="G61" s="8" t="s">
        <v>112</v>
      </c>
      <c r="H61" s="8" t="s">
        <v>113</v>
      </c>
    </row>
    <row r="62" spans="2:8">
      <c r="B62" s="7" t="s">
        <v>134</v>
      </c>
      <c r="C62" s="7" t="s">
        <v>115</v>
      </c>
      <c r="E62" s="8">
        <v>1</v>
      </c>
      <c r="F62" s="7" t="s">
        <v>94</v>
      </c>
      <c r="G62" s="8" t="s">
        <v>112</v>
      </c>
      <c r="H62" s="8" t="s">
        <v>113</v>
      </c>
    </row>
    <row r="63" spans="2:6">
      <c r="B63" s="7" t="s">
        <v>134</v>
      </c>
      <c r="C63" s="7" t="s">
        <v>116</v>
      </c>
      <c r="E63" s="8">
        <v>1</v>
      </c>
      <c r="F63" s="7" t="s">
        <v>94</v>
      </c>
    </row>
    <row r="64" spans="2:8">
      <c r="B64" s="7" t="s">
        <v>134</v>
      </c>
      <c r="C64" s="7" t="s">
        <v>117</v>
      </c>
      <c r="D64" s="7" t="s">
        <v>118</v>
      </c>
      <c r="E64" s="8">
        <v>1</v>
      </c>
      <c r="F64" s="7" t="s">
        <v>90</v>
      </c>
      <c r="G64" s="8" t="s">
        <v>119</v>
      </c>
      <c r="H64" s="8" t="s">
        <v>113</v>
      </c>
    </row>
    <row r="65" spans="2:8">
      <c r="B65" s="7" t="s">
        <v>134</v>
      </c>
      <c r="C65" s="7" t="s">
        <v>120</v>
      </c>
      <c r="E65" s="8">
        <v>1</v>
      </c>
      <c r="F65" s="7" t="s">
        <v>90</v>
      </c>
      <c r="H65" s="8" t="s">
        <v>113</v>
      </c>
    </row>
    <row r="66" spans="2:8">
      <c r="B66" s="7" t="s">
        <v>134</v>
      </c>
      <c r="C66" s="7" t="s">
        <v>121</v>
      </c>
      <c r="E66" s="8">
        <v>1</v>
      </c>
      <c r="F66" s="7" t="s">
        <v>90</v>
      </c>
      <c r="H66" s="8" t="s">
        <v>113</v>
      </c>
    </row>
    <row r="67" spans="2:8">
      <c r="B67" s="7" t="s">
        <v>134</v>
      </c>
      <c r="C67" s="7" t="s">
        <v>122</v>
      </c>
      <c r="E67" s="8">
        <v>1</v>
      </c>
      <c r="F67" s="7" t="s">
        <v>90</v>
      </c>
      <c r="H67" s="8" t="s">
        <v>113</v>
      </c>
    </row>
    <row r="68" s="8" customFormat="1" spans="2:10">
      <c r="B68" s="7" t="s">
        <v>134</v>
      </c>
      <c r="C68" s="7" t="s">
        <v>123</v>
      </c>
      <c r="D68" s="7"/>
      <c r="E68" s="8">
        <v>1</v>
      </c>
      <c r="F68" s="7" t="s">
        <v>124</v>
      </c>
      <c r="H68" s="8" t="s">
        <v>125</v>
      </c>
      <c r="J68" s="7"/>
    </row>
    <row r="69" s="8" customFormat="1" spans="2:10">
      <c r="B69" s="7" t="s">
        <v>134</v>
      </c>
      <c r="C69" s="7" t="s">
        <v>57</v>
      </c>
      <c r="D69" s="7"/>
      <c r="E69" s="8">
        <v>1</v>
      </c>
      <c r="F69" s="7" t="s">
        <v>58</v>
      </c>
      <c r="H69" s="8" t="s">
        <v>125</v>
      </c>
      <c r="J69" s="7"/>
    </row>
    <row r="70" s="8" customFormat="1" spans="1:10">
      <c r="A70" s="8">
        <v>6</v>
      </c>
      <c r="B70" s="7" t="s">
        <v>50</v>
      </c>
      <c r="C70" s="7"/>
      <c r="D70" s="7"/>
      <c r="F70" s="7" t="s">
        <v>124</v>
      </c>
      <c r="H70" s="8" t="s">
        <v>125</v>
      </c>
      <c r="J70" s="7"/>
    </row>
    <row r="71" s="8" customFormat="1" spans="1:10">
      <c r="A71" s="8">
        <v>7</v>
      </c>
      <c r="B71" s="7" t="s">
        <v>54</v>
      </c>
      <c r="C71" s="7"/>
      <c r="D71" s="7"/>
      <c r="F71" s="7" t="s">
        <v>124</v>
      </c>
      <c r="H71" s="8" t="s">
        <v>125</v>
      </c>
      <c r="J71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opLeftCell="A3" workbookViewId="0">
      <selection activeCell="E30" sqref="E30"/>
    </sheetView>
  </sheetViews>
  <sheetFormatPr defaultColWidth="9" defaultRowHeight="14"/>
  <cols>
    <col min="1" max="1" width="7.91666666666667" style="1" customWidth="1"/>
    <col min="2" max="2" width="11.75" customWidth="1"/>
    <col min="3" max="3" width="33.25" customWidth="1"/>
    <col min="4" max="4" width="12.0833333333333" style="1" customWidth="1"/>
    <col min="5" max="5" width="42.5833333333333" customWidth="1"/>
    <col min="6" max="6" width="8.66666666666667" style="1"/>
    <col min="7" max="7" width="12" customWidth="1"/>
  </cols>
  <sheetData>
    <row r="1" spans="1:1">
      <c r="A1" s="2" t="s">
        <v>0</v>
      </c>
    </row>
    <row r="2" spans="1:10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/>
    </row>
    <row r="3" spans="1:6">
      <c r="A3" s="1">
        <v>1</v>
      </c>
      <c r="B3" t="s">
        <v>10</v>
      </c>
      <c r="C3" t="s">
        <v>11</v>
      </c>
      <c r="D3" s="1">
        <v>55</v>
      </c>
      <c r="E3" t="s">
        <v>18</v>
      </c>
      <c r="F3" s="1" t="s">
        <v>13</v>
      </c>
    </row>
    <row r="4" spans="1:6">
      <c r="A4" s="1">
        <v>2</v>
      </c>
      <c r="B4" t="s">
        <v>10</v>
      </c>
      <c r="C4" t="s">
        <v>14</v>
      </c>
      <c r="D4" s="1">
        <v>30</v>
      </c>
      <c r="E4" t="s">
        <v>15</v>
      </c>
      <c r="F4" s="1" t="s">
        <v>13</v>
      </c>
    </row>
    <row r="5" spans="1:6">
      <c r="A5" s="1">
        <v>3</v>
      </c>
      <c r="B5" t="s">
        <v>10</v>
      </c>
      <c r="C5" t="s">
        <v>16</v>
      </c>
      <c r="D5" s="1">
        <v>30</v>
      </c>
      <c r="E5" t="s">
        <v>15</v>
      </c>
      <c r="F5" s="1" t="s">
        <v>13</v>
      </c>
    </row>
    <row r="6" spans="1:6">
      <c r="A6" s="1">
        <v>4</v>
      </c>
      <c r="B6" t="s">
        <v>10</v>
      </c>
      <c r="C6" t="s">
        <v>17</v>
      </c>
      <c r="D6" s="1">
        <v>45</v>
      </c>
      <c r="E6" t="s">
        <v>18</v>
      </c>
      <c r="F6" s="1" t="s">
        <v>13</v>
      </c>
    </row>
    <row r="7" spans="1:6">
      <c r="A7" s="1">
        <v>5</v>
      </c>
      <c r="B7" t="s">
        <v>10</v>
      </c>
      <c r="C7" t="s">
        <v>19</v>
      </c>
      <c r="D7" s="1">
        <v>8.8</v>
      </c>
      <c r="E7" t="s">
        <v>20</v>
      </c>
      <c r="F7" s="1" t="s">
        <v>13</v>
      </c>
    </row>
    <row r="8" spans="1:6">
      <c r="A8" s="1">
        <v>6</v>
      </c>
      <c r="B8" t="s">
        <v>10</v>
      </c>
      <c r="C8" t="s">
        <v>21</v>
      </c>
      <c r="D8" s="1">
        <v>6</v>
      </c>
      <c r="E8" t="s">
        <v>20</v>
      </c>
      <c r="F8" s="1" t="s">
        <v>13</v>
      </c>
    </row>
    <row r="9" spans="1:6">
      <c r="A9" s="1">
        <v>7</v>
      </c>
      <c r="B9" t="s">
        <v>10</v>
      </c>
      <c r="C9" t="s">
        <v>22</v>
      </c>
      <c r="D9" s="1">
        <v>9.5</v>
      </c>
      <c r="E9" t="s">
        <v>20</v>
      </c>
      <c r="F9" s="1" t="s">
        <v>13</v>
      </c>
    </row>
    <row r="10" spans="1:6">
      <c r="A10" s="1">
        <v>8</v>
      </c>
      <c r="B10" t="s">
        <v>10</v>
      </c>
      <c r="C10" t="s">
        <v>23</v>
      </c>
      <c r="D10" s="1">
        <v>9.5</v>
      </c>
      <c r="E10" t="s">
        <v>20</v>
      </c>
      <c r="F10" s="1" t="s">
        <v>13</v>
      </c>
    </row>
    <row r="11" spans="1:6">
      <c r="A11" s="1">
        <v>9</v>
      </c>
      <c r="B11" t="s">
        <v>10</v>
      </c>
      <c r="C11" t="s">
        <v>24</v>
      </c>
      <c r="D11" s="1">
        <v>10</v>
      </c>
      <c r="E11" t="s">
        <v>20</v>
      </c>
      <c r="F11" s="1" t="s">
        <v>13</v>
      </c>
    </row>
    <row r="13" spans="1:1">
      <c r="A13" s="2" t="s">
        <v>25</v>
      </c>
    </row>
    <row r="14" spans="1:10">
      <c r="A14" s="3" t="s">
        <v>1</v>
      </c>
      <c r="B14" s="4" t="s">
        <v>2</v>
      </c>
      <c r="C14" s="4" t="s">
        <v>3</v>
      </c>
      <c r="D14" s="3" t="s">
        <v>26</v>
      </c>
      <c r="E14" s="3" t="s">
        <v>5</v>
      </c>
      <c r="F14" s="3" t="s">
        <v>27</v>
      </c>
      <c r="G14" s="4" t="s">
        <v>28</v>
      </c>
      <c r="H14" s="4" t="s">
        <v>8</v>
      </c>
      <c r="I14" s="4" t="s">
        <v>9</v>
      </c>
      <c r="J14" s="4"/>
    </row>
    <row r="15" spans="1:8">
      <c r="A15" s="1">
        <v>1</v>
      </c>
      <c r="B15" t="s">
        <v>10</v>
      </c>
      <c r="C15" t="s">
        <v>29</v>
      </c>
      <c r="D15" s="1" t="s">
        <v>143</v>
      </c>
      <c r="E15" s="1" t="s">
        <v>144</v>
      </c>
      <c r="F15" t="s">
        <v>32</v>
      </c>
      <c r="G15">
        <f>(47+20+5+5)</f>
        <v>77</v>
      </c>
      <c r="H15" s="5">
        <f>G15*1.2</f>
        <v>92.4</v>
      </c>
    </row>
    <row r="16" spans="1:8">
      <c r="A16" s="1">
        <v>2</v>
      </c>
      <c r="B16" t="s">
        <v>10</v>
      </c>
      <c r="C16" t="s">
        <v>33</v>
      </c>
      <c r="D16" s="1" t="s">
        <v>143</v>
      </c>
      <c r="E16" s="1" t="s">
        <v>144</v>
      </c>
      <c r="F16" t="s">
        <v>32</v>
      </c>
      <c r="G16">
        <f>(27+40+5+5)</f>
        <v>77</v>
      </c>
      <c r="H16" s="5">
        <f t="shared" ref="H16:H31" si="0">G16*1.2</f>
        <v>92.4</v>
      </c>
    </row>
    <row r="17" spans="1:8">
      <c r="A17" s="1">
        <v>3</v>
      </c>
      <c r="B17" t="s">
        <v>10</v>
      </c>
      <c r="C17" t="s">
        <v>34</v>
      </c>
      <c r="D17" s="1" t="s">
        <v>143</v>
      </c>
      <c r="E17" s="1" t="s">
        <v>144</v>
      </c>
      <c r="F17" t="s">
        <v>32</v>
      </c>
      <c r="G17">
        <f>(15+20+5+5)</f>
        <v>45</v>
      </c>
      <c r="H17" s="5">
        <f t="shared" si="0"/>
        <v>54</v>
      </c>
    </row>
    <row r="18" spans="1:8">
      <c r="A18" s="1">
        <v>4</v>
      </c>
      <c r="B18" t="s">
        <v>10</v>
      </c>
      <c r="C18" t="s">
        <v>40</v>
      </c>
      <c r="D18" s="1" t="s">
        <v>145</v>
      </c>
      <c r="E18" s="1" t="s">
        <v>42</v>
      </c>
      <c r="F18" t="s">
        <v>32</v>
      </c>
      <c r="G18">
        <f>(38+20+5+5)</f>
        <v>68</v>
      </c>
      <c r="H18" s="5">
        <f t="shared" si="0"/>
        <v>81.6</v>
      </c>
    </row>
    <row r="19" spans="1:8">
      <c r="A19" s="1">
        <v>5</v>
      </c>
      <c r="B19" t="s">
        <v>10</v>
      </c>
      <c r="C19" t="s">
        <v>19</v>
      </c>
      <c r="D19" s="1" t="s">
        <v>145</v>
      </c>
      <c r="E19" s="1" t="s">
        <v>146</v>
      </c>
      <c r="F19" t="s">
        <v>32</v>
      </c>
      <c r="G19">
        <f>(82+28+5+5)</f>
        <v>120</v>
      </c>
      <c r="H19" s="5">
        <f t="shared" si="0"/>
        <v>144</v>
      </c>
    </row>
    <row r="20" spans="1:8">
      <c r="A20" s="1">
        <v>6</v>
      </c>
      <c r="B20" t="s">
        <v>10</v>
      </c>
      <c r="C20" t="s">
        <v>19</v>
      </c>
      <c r="D20" s="1" t="s">
        <v>147</v>
      </c>
      <c r="E20" s="1" t="s">
        <v>148</v>
      </c>
      <c r="F20" t="s">
        <v>43</v>
      </c>
      <c r="G20">
        <f>(82+28+5+5)</f>
        <v>120</v>
      </c>
      <c r="H20" s="5">
        <f t="shared" si="0"/>
        <v>144</v>
      </c>
    </row>
    <row r="21" spans="1:8">
      <c r="A21" s="1">
        <v>7</v>
      </c>
      <c r="B21" t="s">
        <v>10</v>
      </c>
      <c r="C21" t="s">
        <v>149</v>
      </c>
      <c r="D21" s="1" t="s">
        <v>145</v>
      </c>
      <c r="E21" s="1" t="s">
        <v>42</v>
      </c>
      <c r="F21" t="s">
        <v>32</v>
      </c>
      <c r="G21">
        <f>(90+21+7+5+5)</f>
        <v>128</v>
      </c>
      <c r="H21" s="5">
        <f t="shared" si="0"/>
        <v>153.6</v>
      </c>
    </row>
    <row r="22" spans="1:8">
      <c r="A22" s="1">
        <v>8</v>
      </c>
      <c r="B22" t="s">
        <v>10</v>
      </c>
      <c r="C22" t="s">
        <v>150</v>
      </c>
      <c r="D22" s="1" t="s">
        <v>145</v>
      </c>
      <c r="E22" s="1" t="s">
        <v>151</v>
      </c>
      <c r="F22" t="s">
        <v>43</v>
      </c>
      <c r="G22">
        <f>(90+21+7+5+5)</f>
        <v>128</v>
      </c>
      <c r="H22" s="5">
        <f t="shared" si="0"/>
        <v>153.6</v>
      </c>
    </row>
    <row r="23" spans="1:10">
      <c r="A23" s="1">
        <v>9</v>
      </c>
      <c r="B23" t="s">
        <v>44</v>
      </c>
      <c r="C23" t="s">
        <v>22</v>
      </c>
      <c r="D23" s="1" t="s">
        <v>45</v>
      </c>
      <c r="E23" s="1" t="s">
        <v>46</v>
      </c>
      <c r="F23"/>
      <c r="G23">
        <f>(73+32*2)</f>
        <v>137</v>
      </c>
      <c r="H23" s="5">
        <f t="shared" si="0"/>
        <v>164.4</v>
      </c>
      <c r="J23" t="s">
        <v>47</v>
      </c>
    </row>
    <row r="24" spans="1:8">
      <c r="A24" s="1">
        <v>10</v>
      </c>
      <c r="B24" t="s">
        <v>44</v>
      </c>
      <c r="C24" t="s">
        <v>23</v>
      </c>
      <c r="D24" s="1" t="s">
        <v>48</v>
      </c>
      <c r="E24" s="1" t="s">
        <v>49</v>
      </c>
      <c r="G24" s="6">
        <f>(12+4+3)</f>
        <v>19</v>
      </c>
      <c r="H24" s="5">
        <f t="shared" si="0"/>
        <v>22.8</v>
      </c>
    </row>
    <row r="25" spans="1:10">
      <c r="A25" s="1">
        <v>11</v>
      </c>
      <c r="B25" t="s">
        <v>44</v>
      </c>
      <c r="C25" t="s">
        <v>10</v>
      </c>
      <c r="D25" s="1" t="s">
        <v>45</v>
      </c>
      <c r="E25" s="1" t="s">
        <v>46</v>
      </c>
      <c r="F25"/>
      <c r="G25">
        <f>(23+51+5+5)</f>
        <v>84</v>
      </c>
      <c r="H25" s="5">
        <f t="shared" si="0"/>
        <v>100.8</v>
      </c>
      <c r="J25" t="s">
        <v>47</v>
      </c>
    </row>
    <row r="26" spans="1:8">
      <c r="A26" s="1">
        <v>12</v>
      </c>
      <c r="B26" t="s">
        <v>10</v>
      </c>
      <c r="C26" s="7" t="s">
        <v>50</v>
      </c>
      <c r="D26" s="1" t="s">
        <v>51</v>
      </c>
      <c r="E26" s="1" t="s">
        <v>52</v>
      </c>
      <c r="F26" t="s">
        <v>53</v>
      </c>
      <c r="G26">
        <f>(92+22+5+5)</f>
        <v>124</v>
      </c>
      <c r="H26" s="5">
        <f t="shared" si="0"/>
        <v>148.8</v>
      </c>
    </row>
    <row r="27" spans="1:8">
      <c r="A27" s="1">
        <v>13</v>
      </c>
      <c r="B27" t="s">
        <v>10</v>
      </c>
      <c r="C27" s="7" t="s">
        <v>54</v>
      </c>
      <c r="D27" s="1" t="s">
        <v>51</v>
      </c>
      <c r="E27" s="1" t="s">
        <v>52</v>
      </c>
      <c r="F27" t="s">
        <v>53</v>
      </c>
      <c r="G27">
        <v>10</v>
      </c>
      <c r="H27" s="5">
        <f t="shared" si="0"/>
        <v>12</v>
      </c>
    </row>
    <row r="28" spans="1:8">
      <c r="A28" s="1">
        <v>14</v>
      </c>
      <c r="B28" t="s">
        <v>10</v>
      </c>
      <c r="C28" s="7" t="s">
        <v>55</v>
      </c>
      <c r="D28" s="1" t="s">
        <v>51</v>
      </c>
      <c r="E28" s="1" t="s">
        <v>52</v>
      </c>
      <c r="F28" t="s">
        <v>53</v>
      </c>
      <c r="G28">
        <v>10</v>
      </c>
      <c r="H28" s="5">
        <f t="shared" si="0"/>
        <v>12</v>
      </c>
    </row>
    <row r="29" spans="1:8">
      <c r="A29" s="1">
        <v>15</v>
      </c>
      <c r="B29" t="s">
        <v>10</v>
      </c>
      <c r="C29" s="7" t="s">
        <v>56</v>
      </c>
      <c r="D29" s="1" t="s">
        <v>51</v>
      </c>
      <c r="E29" s="1" t="s">
        <v>52</v>
      </c>
      <c r="F29" t="s">
        <v>53</v>
      </c>
      <c r="G29">
        <f>(38+20+5+5)</f>
        <v>68</v>
      </c>
      <c r="H29" s="5">
        <f t="shared" si="0"/>
        <v>81.6</v>
      </c>
    </row>
    <row r="30" spans="1:8">
      <c r="A30" s="1">
        <v>16</v>
      </c>
      <c r="B30" t="s">
        <v>10</v>
      </c>
      <c r="C30" s="7" t="s">
        <v>57</v>
      </c>
      <c r="D30" s="1" t="s">
        <v>51</v>
      </c>
      <c r="E30" s="1" t="s">
        <v>52</v>
      </c>
      <c r="F30" t="s">
        <v>58</v>
      </c>
      <c r="G30">
        <v>10</v>
      </c>
      <c r="H30" s="5">
        <f t="shared" si="0"/>
        <v>12</v>
      </c>
    </row>
    <row r="31" spans="1:8">
      <c r="A31" s="1">
        <v>18</v>
      </c>
      <c r="B31" t="s">
        <v>48</v>
      </c>
      <c r="C31" s="7" t="s">
        <v>59</v>
      </c>
      <c r="G31" s="6">
        <v>50</v>
      </c>
      <c r="H31" s="5">
        <f t="shared" si="0"/>
        <v>60</v>
      </c>
    </row>
    <row r="32" ht="42" spans="1:8">
      <c r="A32" s="8">
        <v>19</v>
      </c>
      <c r="B32" s="9" t="s">
        <v>60</v>
      </c>
      <c r="C32" s="10" t="s">
        <v>61</v>
      </c>
      <c r="F32" s="8" t="s">
        <v>32</v>
      </c>
      <c r="G32" s="7" t="s">
        <v>62</v>
      </c>
      <c r="H32" t="s">
        <v>63</v>
      </c>
    </row>
    <row r="33" ht="22" customHeight="1" spans="1:1">
      <c r="A33" s="2" t="s">
        <v>64</v>
      </c>
    </row>
    <row r="34" spans="1:6">
      <c r="A34" s="3" t="s">
        <v>1</v>
      </c>
      <c r="B34" s="4" t="s">
        <v>2</v>
      </c>
      <c r="C34" s="4" t="s">
        <v>26</v>
      </c>
      <c r="D34" s="4" t="s">
        <v>65</v>
      </c>
      <c r="E34" s="4" t="s">
        <v>8</v>
      </c>
      <c r="F34" s="4" t="s">
        <v>9</v>
      </c>
    </row>
    <row r="35" ht="72" customHeight="1" spans="1:8">
      <c r="A35" s="8">
        <v>1</v>
      </c>
      <c r="B35" s="7" t="s">
        <v>66</v>
      </c>
      <c r="C35" s="10" t="s">
        <v>67</v>
      </c>
      <c r="D35" s="8">
        <v>1</v>
      </c>
      <c r="E35" s="10">
        <v>6500</v>
      </c>
      <c r="F35" s="8"/>
      <c r="G35" s="11" t="s">
        <v>68</v>
      </c>
      <c r="H35" s="10" t="s">
        <v>69</v>
      </c>
    </row>
    <row r="36" spans="1:8">
      <c r="A36" s="8">
        <v>2</v>
      </c>
      <c r="B36" s="7" t="s">
        <v>70</v>
      </c>
      <c r="C36" s="10" t="s">
        <v>71</v>
      </c>
      <c r="D36" s="8">
        <v>1</v>
      </c>
      <c r="E36" s="7">
        <v>350</v>
      </c>
      <c r="F36" s="8"/>
      <c r="G36" s="7" t="s">
        <v>72</v>
      </c>
      <c r="H36" s="7"/>
    </row>
    <row r="37" spans="1:8">
      <c r="A37" s="8">
        <v>3</v>
      </c>
      <c r="B37" s="7" t="s">
        <v>73</v>
      </c>
      <c r="C37" s="7" t="s">
        <v>74</v>
      </c>
      <c r="D37" s="8">
        <v>1</v>
      </c>
      <c r="E37" s="7">
        <v>236</v>
      </c>
      <c r="F37" s="8"/>
      <c r="G37" s="7" t="s">
        <v>75</v>
      </c>
      <c r="H37" s="7"/>
    </row>
    <row r="38" spans="1:8">
      <c r="A38" s="8">
        <v>3</v>
      </c>
      <c r="B38" s="7" t="s">
        <v>76</v>
      </c>
      <c r="C38" s="7" t="s">
        <v>77</v>
      </c>
      <c r="D38" s="8">
        <v>2</v>
      </c>
      <c r="E38" s="7">
        <v>60</v>
      </c>
      <c r="F38" s="8"/>
      <c r="G38" s="7" t="s">
        <v>78</v>
      </c>
      <c r="H38" s="7"/>
    </row>
    <row r="39" spans="1:4">
      <c r="A39" s="1">
        <v>4</v>
      </c>
      <c r="B39" t="s">
        <v>79</v>
      </c>
      <c r="C39" t="s">
        <v>80</v>
      </c>
      <c r="D39" s="1">
        <v>1</v>
      </c>
    </row>
  </sheetData>
  <hyperlinks>
    <hyperlink ref="G35" r:id="rId1" display="https://detail.tmall.com/item.htm?ali_refid=a3_420434_1006%3A1603680132%3AH%3Ao4LBVeY6jfgV%2B0PjpNQXbQ%3D%3D%3Ad1252181f244f81295cef17e3b43888f&amp;ali_trackid=282_d1252181f244f81295cef17e3b43888f&amp;id=969247587483&amp;mi_id=0000T5L2EMzUdjZf6Ypir8_jfRchTro6-5Yo0QsQymzF9zo&amp;mm_sceneid=1_0_2343040132_0&amp;priceTId=2150401c17808195284995316e0ed0&amp;skuId=6093125394679&amp;spm=a21n57.1.hoverItem.2&amp;utparam=%7B%22aplus_abtest%22%3A%2220e0f3c6320d542da5cd4d249e39476c%22%7D&amp;xxc=ad_ztc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9" defaultRowHeight="14" outlineLevelRow="3"/>
  <sheetData>
    <row r="1" spans="1:1">
      <c r="A1" t="s">
        <v>152</v>
      </c>
    </row>
    <row r="2" spans="1:1">
      <c r="A2" t="s">
        <v>153</v>
      </c>
    </row>
    <row r="3" spans="1:1">
      <c r="A3" t="s">
        <v>154</v>
      </c>
    </row>
    <row r="4" spans="1:1">
      <c r="A4" t="s">
        <v>155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电缆统计</vt:lpstr>
      <vt:lpstr>IO点</vt:lpstr>
      <vt:lpstr>IO点2</vt:lpstr>
      <vt:lpstr>电缆统计-计算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liu</dc:creator>
  <cp:lastModifiedBy>㫪</cp:lastModifiedBy>
  <dcterms:created xsi:type="dcterms:W3CDTF">2015-06-05T18:19:00Z</dcterms:created>
  <dcterms:modified xsi:type="dcterms:W3CDTF">2026-06-19T12:10:53Z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39F6E862C81442509D44FA03B3D99308_13</vt:lpwstr>
  </property>
  <property fmtid="{D5CDD505-2E9C-101B-9397-08002B2CF9AE}" pid="3" name="KSOProductBuildVer">
    <vt:lpwstr>2052-12.1.0.23125</vt:lpwstr>
  </property>
</Properties>
</file>